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B Rev 9" sheetId="1" state="visible" r:id="rId3"/>
    <sheet name="Sisa" sheetId="2" state="visible" r:id="rId4"/>
    <sheet name="Usulan" sheetId="3" state="visible" r:id="rId5"/>
    <sheet name="MAK" sheetId="4" state="visible" r:id="rId6"/>
    <sheet name="datduk" sheetId="5" state="visible" r:id="rId7"/>
  </sheets>
  <definedNames>
    <definedName function="false" hidden="false" localSheetId="3" name="_xlnm.Print_Area" vbProcedure="false">MAK!$B$1:$F$16</definedName>
    <definedName function="false" hidden="false" localSheetId="0" name="_xlnm.Print_Area" vbProcedure="false">'RAB Rev 9'!$A$1:$T$435</definedName>
    <definedName function="false" hidden="false" localSheetId="1" name="_xlnm.Print_Area" vbProcedure="false">Sisa!$B$1:$N$33</definedName>
    <definedName function="false" hidden="false" localSheetId="2" name="_xlnm.Print_Area" vbProcedure="false">Usulan!$B$1:$F$31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V5" authorId="0">
      <text>
        <r>
          <rPr>
            <sz val="10"/>
            <rFont val="Arial"/>
            <family val="2"/>
          </rPr>
          <t xml:space="preserve">Sumber: Laporan Realisasi SP2D TA 2026, Periode Oktober 2026 (PDF), kolom SISA ANGGARAN = Pagu Revisi - Realisasi s.d. periode. Dicocokkan per kegiatan/akun/item; '-' = tidak ada padanannya di laporan.</t>
        </r>
      </text>
    </comment>
  </commentList>
</comments>
</file>

<file path=xl/sharedStrings.xml><?xml version="1.0" encoding="utf-8"?>
<sst xmlns="http://schemas.openxmlformats.org/spreadsheetml/2006/main" count="1468" uniqueCount="454">
  <si>
    <t xml:space="preserve">RAB REVISI 9</t>
  </si>
  <si>
    <t xml:space="preserve">BALAI MONITOR SPEKTRUM FREKUENSI RADIO KELAS I SURABAYA</t>
  </si>
  <si>
    <t xml:space="preserve">TAHUN : 2026</t>
  </si>
  <si>
    <t xml:space="preserve">Semula</t>
  </si>
  <si>
    <t xml:space="preserve">Menjadi</t>
  </si>
  <si>
    <t xml:space="preserve">KODE ANGGARAN</t>
  </si>
  <si>
    <t xml:space="preserve">URAIAN</t>
  </si>
  <si>
    <t xml:space="preserve">VOL.</t>
  </si>
  <si>
    <t xml:space="preserve">SATUAN</t>
  </si>
  <si>
    <t xml:space="preserve">HARGA SATUAN (Rp.)</t>
  </si>
  <si>
    <t xml:space="preserve">JUMLAH </t>
  </si>
  <si>
    <t xml:space="preserve">JUMLAH</t>
  </si>
  <si>
    <t xml:space="preserve">BLOKIR 524</t>
  </si>
  <si>
    <t xml:space="preserve">BLOKIR Non524</t>
  </si>
  <si>
    <t xml:space="preserve">Selisih (524)</t>
  </si>
  <si>
    <t xml:space="preserve">Selisih (Non 524)</t>
  </si>
  <si>
    <t xml:space="preserve">WAKTU PELAKSANAAN</t>
  </si>
  <si>
    <t xml:space="preserve">Selisih</t>
  </si>
  <si>
    <t xml:space="preserve">SISA ANGGARAN</t>
  </si>
  <si>
    <t xml:space="preserve">059.GL</t>
  </si>
  <si>
    <t xml:space="preserve">Program Pengembangan dan Penguatan Infrastruktur Digital</t>
  </si>
  <si>
    <t xml:space="preserve">Monitoring dan Pengendalian Spektrum Frekuensi Radio, Perangkat Digital, dan Kualitas Layanan Telekomunikasi</t>
  </si>
  <si>
    <t xml:space="preserve">7437.BAH</t>
  </si>
  <si>
    <t xml:space="preserve">Pelayanan Publik Lainnya [Base Line]</t>
  </si>
  <si>
    <t xml:space="preserve">Lokasi : KOTA SURABAYA</t>
  </si>
  <si>
    <t xml:space="preserve">7437.BAH.078</t>
  </si>
  <si>
    <t xml:space="preserve">Layanan Dukungan Pengawasan Spektrum Frekuensi Radio UPT</t>
  </si>
  <si>
    <t xml:space="preserve">Layanan</t>
  </si>
  <si>
    <t xml:space="preserve">SBML</t>
  </si>
  <si>
    <t xml:space="preserve">A</t>
  </si>
  <si>
    <t xml:space="preserve">Honorarium Optimalisasi PNBP Bidang Telekomunikasi dan Penyiaran</t>
  </si>
  <si>
    <t xml:space="preserve">Belanja Honor Operasional Satuan Kerja</t>
  </si>
  <si>
    <t xml:space="preserve">(KPPN. 135-Surabaya II)</t>
  </si>
  <si>
    <t xml:space="preserve">- Standar Biaya Masukan Lainnya (SBML)</t>
  </si>
  <si>
    <t xml:space="preserve">Thn</t>
  </si>
  <si>
    <t xml:space="preserve">Dukungan Tupoksi</t>
  </si>
  <si>
    <t xml:space="preserve">Perjalanan Dinas Asisstensi, Bimtek, Diklat, Konsultasi dan Koordinasi dengan Kantor Pusat</t>
  </si>
  <si>
    <t xml:space="preserve">Belanja Perjalanan Dinas Biasa</t>
  </si>
  <si>
    <t xml:space="preserve">- Perjalanan Dinas Rutin Koordinasi dan Konsultasi dengan Kantor Pusat dan Instansi Terkait</t>
  </si>
  <si>
    <t xml:space="preserve">*</t>
  </si>
  <si>
    <t xml:space="preserve">Belanja Perjalanan Dinas Dalam Kota</t>
  </si>
  <si>
    <t xml:space="preserve">- Perjalanan Dinas Dalam Kota</t>
  </si>
  <si>
    <t xml:space="preserve">Belanja Perjalanan Dinas Paket Meeting Dalam Kota</t>
  </si>
  <si>
    <t xml:space="preserve">- Perjalanan Dinas Menghadiri Undangan rapat/asistensi/bimtek/diklat</t>
  </si>
  <si>
    <t xml:space="preserve">Belanja Perjalanan Dinas Paket Meeting Luar Kota</t>
  </si>
  <si>
    <t xml:space="preserve">C</t>
  </si>
  <si>
    <t xml:space="preserve">Penambah Daya Tahan Tubuh </t>
  </si>
  <si>
    <t xml:space="preserve">Belanja Penambah Daya Tahan Tubuh</t>
  </si>
  <si>
    <t xml:space="preserve">- Makanan/Minuman Penambah Daya Tahan Tubuh [65 org x 22 hari x 12 bulan]</t>
  </si>
  <si>
    <t xml:space="preserve">OK</t>
  </si>
  <si>
    <t xml:space="preserve">Peningkatan Sarana Prasarana Perkantoran</t>
  </si>
  <si>
    <t xml:space="preserve">U</t>
  </si>
  <si>
    <t xml:space="preserve">Pembuatan Laporan Kinerja (LAKIN)</t>
  </si>
  <si>
    <t xml:space="preserve">Belanja Barang Operasional Lainnya</t>
  </si>
  <si>
    <t xml:space="preserve">- Biaya Editing dan Cetak Buku LAKIN 2025</t>
  </si>
  <si>
    <t xml:space="preserve">Paket</t>
  </si>
  <si>
    <t xml:space="preserve">Operasional Stasiun Monitoring Tetap Bergerak</t>
  </si>
  <si>
    <t xml:space="preserve">Belanja Pemeliharaan Peralatan dan Mesin</t>
  </si>
  <si>
    <t xml:space="preserve">- Biaya Operasional Genset (80 liter x 4 unit x 12 bln)</t>
  </si>
  <si>
    <t xml:space="preserve">Liter</t>
  </si>
  <si>
    <t xml:space="preserve">- Biaya Operasional Genset (107 liter x 4 unit x 12 bln)</t>
  </si>
  <si>
    <t xml:space="preserve">B</t>
  </si>
  <si>
    <t xml:space="preserve">Pelaksanaan Perijinan Maritim On The Spot oleh UPT Surabaya</t>
  </si>
  <si>
    <t xml:space="preserve">Oktober Minggu ke 2</t>
  </si>
  <si>
    <t xml:space="preserve">- Snack Pelaksanaan Sosialisasi MOTS ( 75 Org x 1 keg)</t>
  </si>
  <si>
    <t xml:space="preserve">- Makan Siang Pelaksanaan Sosialisasi MOTS (75 Org x 1 keg)</t>
  </si>
  <si>
    <t xml:space="preserve">- Pengadaan Seragam Panitia (15 Org x 1 keg)</t>
  </si>
  <si>
    <t xml:space="preserve">Belanja Bahan</t>
  </si>
  <si>
    <t xml:space="preserve">- Pulsa Telpon dan Paket Data Operasional Loket MOTS</t>
  </si>
  <si>
    <t xml:space="preserve">Bln</t>
  </si>
  <si>
    <t xml:space="preserve">- Banner Sosialisasi MOTS (2 buah x 1 Keg)</t>
  </si>
  <si>
    <t xml:space="preserve">Buah</t>
  </si>
  <si>
    <t xml:space="preserve">- Seminar Kit Sosialisasi MOTS ( 60 Org x 1 Keg)</t>
  </si>
  <si>
    <t xml:space="preserve">Belanja Barang Non Operasional Lainnya</t>
  </si>
  <si>
    <t xml:space="preserve">- BBM Koordinasi Persiapan Sosialisasi MOTS Efisiensi</t>
  </si>
  <si>
    <t xml:space="preserve">- BBM Koordinasi Persiapan Sosialisasi MOTS ( 50 ltr x 1 Mbl x 3 Hari x 1 keg)</t>
  </si>
  <si>
    <t xml:space="preserve">Ltr</t>
  </si>
  <si>
    <t xml:space="preserve">- BBM Monev Rutin ISR, MOTS ( 40 ltr x 1 Mbl x 3 Hari x 2 Keg)</t>
  </si>
  <si>
    <t xml:space="preserve">- BBM Pelaksanaan Sosialisasi MOTS ( 40 ltr x 2 Mbl x 3 Hari x 1 keg)</t>
  </si>
  <si>
    <t xml:space="preserve">Belanja Sewa</t>
  </si>
  <si>
    <t xml:space="preserve">- Sewa mobil MOTS ( 1 unit x 3 hari x 1 keg)</t>
  </si>
  <si>
    <t xml:space="preserve">Belanja Jasa Profesi</t>
  </si>
  <si>
    <t xml:space="preserve">- Honorarium Narasumber ( 3 Org x 2 jam x 1 Keg)</t>
  </si>
  <si>
    <t xml:space="preserve">OJ</t>
  </si>
  <si>
    <t xml:space="preserve">- Honorarium Moderator ( 1 Org x 1 keg )</t>
  </si>
  <si>
    <t xml:space="preserve">- Uang Harian Pelaksanaan Sosialisasi MOTS di Jatim</t>
  </si>
  <si>
    <t xml:space="preserve">- Akomodasi Pelaksanaan Sosialisasi MOTS di Jatim</t>
  </si>
  <si>
    <t xml:space="preserve">Inspeksi Perangkat SMFR dan Alkom di Luar Kota</t>
  </si>
  <si>
    <t xml:space="preserve">- BBM Operasional pemeriksaan rutin Alkom [ 50 liter x 1 mbl x 5 hari x 3 keg]</t>
  </si>
  <si>
    <t xml:space="preserve">- BBM Operasional pemeriksaan rutin Alkom [ 22 liter x 1 mbl x 5 hari x 3 keg]</t>
  </si>
  <si>
    <t xml:space="preserve">- BBM Operasional pemeriksaan rutin SMFR [ 50 liter x 1 mbl x 5 hari x 6 keg]</t>
  </si>
  <si>
    <t xml:space="preserve">- BBM Operasional pemeriksaan rutin SMFR [ 47 liter x 1 mbl x 5 hari x 6 keg]</t>
  </si>
  <si>
    <t xml:space="preserve">- Uang harian pemeriksaan Rutin Alkom </t>
  </si>
  <si>
    <t xml:space="preserve">- Biaya akomodasi Pemeriksaan Rutin Alkom</t>
  </si>
  <si>
    <t xml:space="preserve">- Uang harian pemeriksaan Rutin SMFR</t>
  </si>
  <si>
    <t xml:space="preserve">- Biaya akomodasi Pemeriksaan Rutin SMFR</t>
  </si>
  <si>
    <t xml:space="preserve">E</t>
  </si>
  <si>
    <t xml:space="preserve">Tindak Lanjut Hasil Penertiban</t>
  </si>
  <si>
    <t xml:space="preserve">- Makan Siang Pemusnahan Alat/ Perangkat Telekomunikasi (100 Org x 1 Keg)</t>
  </si>
  <si>
    <t xml:space="preserve">- Snack pemusnahan Alat/Perangkat Telekomunikasi (100 Org x 1 Keg)</t>
  </si>
  <si>
    <t xml:space="preserve">- Spanduk Pemusnahan Alat/Perangkat Telekomunikasi (2 unit x 1 keg)</t>
  </si>
  <si>
    <t xml:space="preserve">Unit</t>
  </si>
  <si>
    <t xml:space="preserve">- Spanduk dan Seminar Kit</t>
  </si>
  <si>
    <t xml:space="preserve">- Pengadaan Drum Pemusnahan Alat/Perangkat Telekomunikasi</t>
  </si>
  <si>
    <t xml:space="preserve">buah</t>
  </si>
  <si>
    <t xml:space="preserve">- Perlengkapan dan Bahan</t>
  </si>
  <si>
    <t xml:space="preserve">Belanja Honor Output Kegiatan</t>
  </si>
  <si>
    <t xml:space="preserve">- Honorarium Anggota tim kegiatan Pemusnahan Alat/ Perangkat Telekomunikasi ditetapkan dengan SK KPA (4 Org x 1 Keg)</t>
  </si>
  <si>
    <t xml:space="preserve">- Honorarium Narasumber Pemusnahan Alat/ Perangkat Telekomunikasi (2 Org x 2 Jam x 1 Keg)</t>
  </si>
  <si>
    <t xml:space="preserve">F</t>
  </si>
  <si>
    <t xml:space="preserve">Inspeksi Validasi Izin Stasiun Radio Dalam Kota</t>
  </si>
  <si>
    <t xml:space="preserve">- BBM Operasional inspeksi Validasi Izin Stasiun Radio Dalam Kota [ 30 liter x 1 mbl x 5 hari x 3 keg]</t>
  </si>
  <si>
    <t xml:space="preserve">- BBM Operasional inspeksi Validasi Izin Stasiun Radio Dalam Kota [ 16 liter x 1 mbl x 3 hari x 3 keg]</t>
  </si>
  <si>
    <t xml:space="preserve">- Uang Harian Dalam Kota (Lebih dari 8 jam) </t>
  </si>
  <si>
    <t xml:space="preserve">G</t>
  </si>
  <si>
    <t xml:space="preserve">Inspeksi Validasi Izin Stasiun Radio Luar Kota</t>
  </si>
  <si>
    <t xml:space="preserve">- BBM Inspeksi Validasi Izin Stasiun Radio Luar Kota (45 ltr x 1 Mbl x 5 hari x 12 Keg)</t>
  </si>
  <si>
    <t xml:space="preserve">- BBM Inspeksi Validasi Izin Stasiun Radio Luar Kota (37 ltr x 1 Mbl x 5 hari x 12 Keg)</t>
  </si>
  <si>
    <t xml:space="preserve">- Uang harian luar kota di Jatim (Inspeksi Validasi Izin Stasiun Radio Luar Kota)</t>
  </si>
  <si>
    <t xml:space="preserve">- Biaya akomodasi di jatim (inspeksi Validasi Izin Stasiun Radio Luar Kota)</t>
  </si>
  <si>
    <t xml:space="preserve">H</t>
  </si>
  <si>
    <t xml:space="preserve">Inspeksi Validasi Izin Stasiun Radio Luar Kota Transportasi Udara</t>
  </si>
  <si>
    <t xml:space="preserve">- Sewa kendaraan Roda 4 (Inspeksi Validasi Izin Stasiun Radio Luar Kota Transportasi Udara) (1 Mbl x 5 hari x 1 keg)</t>
  </si>
  <si>
    <t xml:space="preserve">UH</t>
  </si>
  <si>
    <t xml:space="preserve">- Uang harian luar kota di Jatim (Inspeksi Validasi Izin Stasiun Radio Luar Kota Transportasi Udara)</t>
  </si>
  <si>
    <t xml:space="preserve">- Biaya akomodasi di jatim (inspeksi Validasi Izin Stasiun Radio Luar Kota Transportasi Udara)</t>
  </si>
  <si>
    <t xml:space="preserve">- Tiket pesawat PP, Taksi Surabaya-Juanda PP</t>
  </si>
  <si>
    <t xml:space="preserve">I</t>
  </si>
  <si>
    <t xml:space="preserve">Pengukuran Kualitas Layanan Telekomunikasi (QOS) Dalam Kota</t>
  </si>
  <si>
    <t xml:space="preserve">- BBM Pengukuran Kualitas Layanan Telekomunikasi (QOS) Dalam Kota (30 ltr x 1 Mbl x 5 hari x 2 keg)</t>
  </si>
  <si>
    <t xml:space="preserve">- BBM Pengukuran Kualitas Layanan Telekomunikasi (QOS) Dalam Kota (32 ltr x 1 Mbl x 5 hari x 2 keg)</t>
  </si>
  <si>
    <t xml:space="preserve">- Uang harian dalam kota (lebih dari 8 jam) Pengukuran Kualitas layanan Telekomunikasi (QOS) dalam Kota</t>
  </si>
  <si>
    <t xml:space="preserve">L</t>
  </si>
  <si>
    <t xml:space="preserve">Ujian Negara Amatir Radio (UNAR) Luar Kota</t>
  </si>
  <si>
    <t xml:space="preserve">- Biaya Spanduk</t>
  </si>
  <si>
    <t xml:space="preserve">- BBM Koordinasi Lokal UNAR Efisiensi</t>
  </si>
  <si>
    <t xml:space="preserve">- BBM Koordinasi Lokal UNAR (40 ltr x 1 mbl x 3 hari x 4 keg)</t>
  </si>
  <si>
    <t xml:space="preserve">- BBM Koordinasi Lokal UNAR (25 ltr x 1 mbl x 3 hari x 4 keg)</t>
  </si>
  <si>
    <t xml:space="preserve">- BBM Pelaksanaan UNAR (40 ltr x 1 Mbl x 3 hari x 4 Keg)</t>
  </si>
  <si>
    <t xml:space="preserve">- Seragam panitia UNAR ( 10 org x 1 kali x 1 keg)</t>
  </si>
  <si>
    <t xml:space="preserve">- Sewa Kendaraan Roda-4 ( 1 unit x 3 hari x 4 keg)</t>
  </si>
  <si>
    <t xml:space="preserve">- Sewa Laptop (30 unit x 1 hari x 4 keg)</t>
  </si>
  <si>
    <t xml:space="preserve">- Sewa Laptop (35 unit x 1 hari x 4 keg)</t>
  </si>
  <si>
    <t xml:space="preserve">- Paket meeting halfday </t>
  </si>
  <si>
    <t xml:space="preserve">- Uang Harian Pelaksanaan UNAR di jatim </t>
  </si>
  <si>
    <t xml:space="preserve">- Akomodasi Pelaksanaan UNAR di Jatim </t>
  </si>
  <si>
    <t xml:space="preserve">M</t>
  </si>
  <si>
    <t xml:space="preserve">Ujian Negara Amatir Radio (UNAR) Dalam Kota</t>
  </si>
  <si>
    <t xml:space="preserve">- Biaya snack kegiatan UNAR (60 Org x 5 keg)</t>
  </si>
  <si>
    <t xml:space="preserve">- Biaya makan kegiatan UNAR (60 Org x 5 keg)</t>
  </si>
  <si>
    <t xml:space="preserve">- Sewa Laptop ( 40 buah x 1 hari x 4 keg)</t>
  </si>
  <si>
    <t xml:space="preserve">OH</t>
  </si>
  <si>
    <t xml:space="preserve">- Sewa Laptop ( 36 buah x 1 hari x 5 keg)</t>
  </si>
  <si>
    <t xml:space="preserve">N</t>
  </si>
  <si>
    <t xml:space="preserve">Evaluasi Capaian Kinerja Tahun 2026 dan Internalisasi Zona Integritas</t>
  </si>
  <si>
    <t xml:space="preserve">Capkin: November 2026 Minggu ke 3
ZI: September Minggu ke 2</t>
  </si>
  <si>
    <t xml:space="preserve">- Spanduk</t>
  </si>
  <si>
    <t xml:space="preserve">- Spanduk &amp; Seminar Kit</t>
  </si>
  <si>
    <t xml:space="preserve">- BBM Koordinasi Capaian Kinerja (Efisiensi)</t>
  </si>
  <si>
    <t xml:space="preserve">- BBM Koordinasi Capaian Kinerja [100 liter x 1 mbl x 1 keg]</t>
  </si>
  <si>
    <t xml:space="preserve">liter</t>
  </si>
  <si>
    <t xml:space="preserve">- BBM Pelaksanaan Capaian Kinerja [100 liter x 1 mbl x 1 keg]</t>
  </si>
  <si>
    <t xml:space="preserve">- Seragam Kegiatan</t>
  </si>
  <si>
    <t xml:space="preserve">- Sewa Kendaraan [2 unit x 3 hari x 1 keg]</t>
  </si>
  <si>
    <t xml:space="preserve">- Honorarium Narasumber [1 org x 2 jam]</t>
  </si>
  <si>
    <t xml:space="preserve">- Pembuatan Vidio ILM ZI</t>
  </si>
  <si>
    <t xml:space="preserve">Keg</t>
  </si>
  <si>
    <t xml:space="preserve">- Uang Harian Koordinasi Capkin (2 org x 2 hr x 1 keg))</t>
  </si>
  <si>
    <t xml:space="preserve">- Biaya Penginapan Koordinasi Capkin (1 org x 1 hr)</t>
  </si>
  <si>
    <t xml:space="preserve">- Paket Meeting Fullday [60 org x 1 keg]</t>
  </si>
  <si>
    <t xml:space="preserve">- Biaya Penginapan Pelaksanaan Evaluasi Capaian Kinerja (30 org x 2 hr x 1 keg) [0 x 0 x 0]</t>
  </si>
  <si>
    <t xml:space="preserve">- Uang Harian Pelaksanaan Evaluasi Capaian Kinerja (60 org x 1 hari x 1 keg)</t>
  </si>
  <si>
    <t xml:space="preserve">P</t>
  </si>
  <si>
    <t xml:space="preserve">Inventarisasi dan Pemeriksaan BMN Luar Kota</t>
  </si>
  <si>
    <t xml:space="preserve">Oktober Minggu ke 3</t>
  </si>
  <si>
    <t xml:space="preserve">- Sewa Kendaraan [1 mbl x 3 hari x 3 keg]</t>
  </si>
  <si>
    <t xml:space="preserve">- Sewa Kendaraan [1 mbl x 3 hari x 2 keg]</t>
  </si>
  <si>
    <t xml:space="preserve">- Uang Harian Luar Kota Inventarisasi dan Pemeriksaan BMN [4 org x 3 hari x 2 keg]</t>
  </si>
  <si>
    <t xml:space="preserve">- Biaya Akomodasi Inventarisasi dan Pemeriksaan BMN  [2 org x 2 hari x 2 keg]</t>
  </si>
  <si>
    <t xml:space="preserve">- Biaya Akomodasi Inventarisasi dan Pemeriksaan BMN  </t>
  </si>
  <si>
    <t xml:space="preserve">R</t>
  </si>
  <si>
    <t xml:space="preserve">Pengelolaan Kepegawaian</t>
  </si>
  <si>
    <t xml:space="preserve">November Minggu ke 1</t>
  </si>
  <si>
    <t xml:space="preserve">- Uang Harian di Jakarta [2 org x 3 hari x 2 keg]</t>
  </si>
  <si>
    <t xml:space="preserve">- Uang Harian di Jakarta (Efisiensi) [2 org x 3 hari x 2 keg]</t>
  </si>
  <si>
    <t xml:space="preserve">- Biaya Akomodasi di Jakarta </t>
  </si>
  <si>
    <t xml:space="preserve">- Biaya Akomodasi di Jakarta (Efisiensi) </t>
  </si>
  <si>
    <t xml:space="preserve">- Biaya Transportasi [ 2 org x 1 kali x 2 keg]</t>
  </si>
  <si>
    <t xml:space="preserve">org</t>
  </si>
  <si>
    <t xml:space="preserve">- Biaya Transportasi (Efisiensi) [ 2 org x 1 kali x 2 keg]</t>
  </si>
  <si>
    <t xml:space="preserve">T</t>
  </si>
  <si>
    <t xml:space="preserve">Pencegahan Piutang BHP Frekuensi Radio</t>
  </si>
  <si>
    <t xml:space="preserve">- BBM luar Kota [ 45 liter x 1 mbl x 5 hari x 5 keg]</t>
  </si>
  <si>
    <t xml:space="preserve">- BBM luar Kota [ 25 liter x 1 mbl x 5 hari x 5 keg]</t>
  </si>
  <si>
    <t xml:space="preserve">- BBM dalam Kota [ 30 liter x 1 mbl x 5 hari x 2 keg]</t>
  </si>
  <si>
    <t xml:space="preserve">- BBM dalam Kota [ 10 liter x 1 mbl x 5 hari x 3 keg]</t>
  </si>
  <si>
    <t xml:space="preserve">- Uang harian luar kota di Jatim</t>
  </si>
  <si>
    <t xml:space="preserve">- Biaya akomodasi di Jatim</t>
  </si>
  <si>
    <t xml:space="preserve">- Uang Harian Dalam Kota (5 org x 5 hari x 2 keg)</t>
  </si>
  <si>
    <t xml:space="preserve">TOTAL : 059.GL.7437.BAH.(078+U07+U08+U10)</t>
  </si>
  <si>
    <t xml:space="preserve">TOTAL  PROGRAM  : 059.09.GL.7437                                  </t>
  </si>
  <si>
    <t xml:space="preserve">059.09.WA</t>
  </si>
  <si>
    <t xml:space="preserve">Program Dukungan Manajemen</t>
  </si>
  <si>
    <t xml:space="preserve">Pengelolaan Keuangan, BMN dan Umum Direktorat Jenderal Infrastruktur Digital</t>
  </si>
  <si>
    <t xml:space="preserve">7427.EBA</t>
  </si>
  <si>
    <t xml:space="preserve">Layanan Dukungan Manajemen Internal [Base Line]</t>
  </si>
  <si>
    <t xml:space="preserve">7427.EBA.960</t>
  </si>
  <si>
    <t xml:space="preserve">Layanan Organisasi dan Tata Kelola Internal</t>
  </si>
  <si>
    <t xml:space="preserve">Layanan Dukungan Teknis UPT</t>
  </si>
  <si>
    <t xml:space="preserve">Licensi Video Conference</t>
  </si>
  <si>
    <t xml:space="preserve">Licensi Video Conference dan Aplikasi Teknis</t>
  </si>
  <si>
    <t xml:space="preserve">- Langganan Lisensi Aplikasi Video Conference</t>
  </si>
  <si>
    <t xml:space="preserve">- Langganan Lisensi Aplikasi Video Conference &amp; Aplikasi Teknis</t>
  </si>
  <si>
    <t xml:space="preserve"> Paket Data Pengukuran Kualitas Layanan Telekomunikasi
(PMT)</t>
  </si>
  <si>
    <t xml:space="preserve">- Paket Data Pengukuran Kualitas Layanan
Telekomunikasi (PMT</t>
  </si>
  <si>
    <t xml:space="preserve">7427.EBA.994</t>
  </si>
  <si>
    <t xml:space="preserve">Layanan Perkantoran</t>
  </si>
  <si>
    <t xml:space="preserve">001</t>
  </si>
  <si>
    <t xml:space="preserve">Gaji dan Tunjangan</t>
  </si>
  <si>
    <t xml:space="preserve">Pembayaran Gaji dan Tunjangan PNS</t>
  </si>
  <si>
    <t xml:space="preserve">Belanja Gaji Pokok PNS</t>
  </si>
  <si>
    <t xml:space="preserve">- Belanja Gaji Pokok PNS</t>
  </si>
  <si>
    <t xml:space="preserve">Belanja Pembulatan Gaji PNS</t>
  </si>
  <si>
    <t xml:space="preserve">- Belanja Pembulatan Gaji PNS</t>
  </si>
  <si>
    <t xml:space="preserve">Belanja Tunj. Suami/Istri PNS</t>
  </si>
  <si>
    <t xml:space="preserve">- Tunjangan suami / istri PNS</t>
  </si>
  <si>
    <t xml:space="preserve">Belanja Tunj. Anak PNS</t>
  </si>
  <si>
    <t xml:space="preserve">- Belanja Tunj. Anak PNS</t>
  </si>
  <si>
    <t xml:space="preserve">Belanja Tunj. Struktural PNS</t>
  </si>
  <si>
    <t xml:space="preserve">- Tunjangan Struktural PNS</t>
  </si>
  <si>
    <t xml:space="preserve">Belanja Tunj. Fungsional PNS</t>
  </si>
  <si>
    <t xml:space="preserve">- Tunjangan Fungsional PNS</t>
  </si>
  <si>
    <t xml:space="preserve">Belanja Tunj. PPh PNS</t>
  </si>
  <si>
    <t xml:space="preserve">- Tunjangan PPh PNS</t>
  </si>
  <si>
    <t xml:space="preserve">Belanja Tunj. Beras PNS</t>
  </si>
  <si>
    <t xml:space="preserve">-Tunjangan Beras PNS</t>
  </si>
  <si>
    <t xml:space="preserve">Belanja Uang Makan PNS</t>
  </si>
  <si>
    <t xml:space="preserve">- Uang Makan PNS</t>
  </si>
  <si>
    <t xml:space="preserve">Belanja Tunjangan Umum PNS</t>
  </si>
  <si>
    <t xml:space="preserve">- Tunjangan Umum PNS</t>
  </si>
  <si>
    <t xml:space="preserve">Belanja Uang Lembur</t>
  </si>
  <si>
    <t xml:space="preserve">-Uang Lembur PNS</t>
  </si>
  <si>
    <t xml:space="preserve">Belanja Pegawai (Tunjangan Khusus/Kegiatan/Kinerja)</t>
  </si>
  <si>
    <t xml:space="preserve">-Tunjangan Kinerja Pegawai</t>
  </si>
  <si>
    <t xml:space="preserve">Pembayaran Gaji dan Tunjangan PPPK</t>
  </si>
  <si>
    <t xml:space="preserve">Belanja Gaji Pokok PPPK</t>
  </si>
  <si>
    <t xml:space="preserve">- Gaji Pokok PPPK</t>
  </si>
  <si>
    <t xml:space="preserve">Belanja Pembulatan Gaji PPPK</t>
  </si>
  <si>
    <t xml:space="preserve">- Pembulatan Gaji PPPK</t>
  </si>
  <si>
    <t xml:space="preserve">Belanja Tunj. Suami/Istri PPPK</t>
  </si>
  <si>
    <t xml:space="preserve">- Tunjangan suami / istri PPPK</t>
  </si>
  <si>
    <t xml:space="preserve">Belanja Tunj. Anak PPPK</t>
  </si>
  <si>
    <t xml:space="preserve">-  Tunjangan Anak PPPK</t>
  </si>
  <si>
    <t xml:space="preserve">Belanja Tunj. Fungsional PPPK</t>
  </si>
  <si>
    <t xml:space="preserve">- Tunjangan Fungsional PPPK</t>
  </si>
  <si>
    <t xml:space="preserve">Belanja Tunjangan Beras PPPK</t>
  </si>
  <si>
    <t xml:space="preserve">- Tunjangan Beras PPPK</t>
  </si>
  <si>
    <t xml:space="preserve">Belanja Uang Makan PPPK</t>
  </si>
  <si>
    <t xml:space="preserve">-Uang Makan PPPK</t>
  </si>
  <si>
    <t xml:space="preserve">Belanja Tunjangan Umum PPPK</t>
  </si>
  <si>
    <t xml:space="preserve">- Tunjangan Umum PPPK</t>
  </si>
  <si>
    <t xml:space="preserve">Belanja Uang Lembur PPPK</t>
  </si>
  <si>
    <t xml:space="preserve">-Uang Lembur PPPK</t>
  </si>
  <si>
    <t xml:space="preserve">Belanja Pegawai Tunjangan Khusus/Kegiatan/Kinerja PPPK</t>
  </si>
  <si>
    <t xml:space="preserve">-Tunjangan Kinerja PPPK</t>
  </si>
  <si>
    <t xml:space="preserve">002</t>
  </si>
  <si>
    <t xml:space="preserve">Operasional dan Pemeliharaan Kantor</t>
  </si>
  <si>
    <t xml:space="preserve">Pemeliharaan Gedung Kantor</t>
  </si>
  <si>
    <t xml:space="preserve">Belanja Pemeliharaan Gedung dan Bangunan</t>
  </si>
  <si>
    <t xml:space="preserve">-Pemeliharaan halaman Balmon Kelas I Surabaya</t>
  </si>
  <si>
    <t xml:space="preserve">m2</t>
  </si>
  <si>
    <t xml:space="preserve">PNP</t>
  </si>
  <si>
    <t xml:space="preserve">-Pemeliharaan Gedung 3 lantai Balai Monitor Surabaya</t>
  </si>
  <si>
    <t xml:space="preserve">-Pemeliharaan Slave Station Sukodono - Sidoarjo</t>
  </si>
  <si>
    <t xml:space="preserve">-Pemeliharaan Slave Station Benowo - Surabaya</t>
  </si>
  <si>
    <t xml:space="preserve">-Pemeliharaan Slave Station Bojonegoro</t>
  </si>
  <si>
    <t xml:space="preserve">-Pemeliharaan Slave Station Mulyorejo - Surabaya</t>
  </si>
  <si>
    <t xml:space="preserve">-Pemeliharaan Rumah Dinas</t>
  </si>
  <si>
    <t xml:space="preserve">-Pengecetan Menara/ Tower Monitoring</t>
  </si>
  <si>
    <t xml:space="preserve">RM</t>
  </si>
  <si>
    <t xml:space="preserve">-Perbaikan Pagar Rumah Dinas</t>
  </si>
  <si>
    <t xml:space="preserve">-Perbaikan Tower Air Benowo dan Mulyorejo</t>
  </si>
  <si>
    <t xml:space="preserve">Pemeliharaan Peralatan Kantor</t>
  </si>
  <si>
    <t xml:space="preserve">-Pemeliharaan AC Gedung Balmon ( AC Central Indoor 17 unit)</t>
  </si>
  <si>
    <t xml:space="preserve">-Pemeliharaan AC Split 1 PK di Slave Station</t>
  </si>
  <si>
    <t xml:space="preserve">-Pemeliharaan CCTV</t>
  </si>
  <si>
    <t xml:space="preserve">-Pemeliharaan Fire Extinguisher</t>
  </si>
  <si>
    <t xml:space="preserve">UT</t>
  </si>
  <si>
    <t xml:space="preserve">-Pemeliharaan Inventaris Kantor (67 x 1 Thn)</t>
  </si>
  <si>
    <t xml:space="preserve">OT</t>
  </si>
  <si>
    <t xml:space="preserve">-Pemeliharaan Inventaris Kantor</t>
  </si>
  <si>
    <t xml:space="preserve">-Pemeliharaan Komputer / PC</t>
  </si>
  <si>
    <t xml:space="preserve">-Pemeliharaan Laptop</t>
  </si>
  <si>
    <t xml:space="preserve">-Pemeliharaan Notebook</t>
  </si>
  <si>
    <t xml:space="preserve">-Pemeliharaan Printer</t>
  </si>
  <si>
    <t xml:space="preserve">-Pemeliharaan Scanner</t>
  </si>
  <si>
    <t xml:space="preserve">-Pemeliharaan Genset di Balmon Kelas I Surabaya dan Slave Station</t>
  </si>
  <si>
    <t xml:space="preserve">-Pemeliharaan Server Balmon SFR Kelas I Surabaya</t>
  </si>
  <si>
    <t xml:space="preserve">Pemeliharaan Kendaraan Bermotor Roda 2</t>
  </si>
  <si>
    <t xml:space="preserve">-Pemeliharaan Kendaraan dinas roda 2</t>
  </si>
  <si>
    <t xml:space="preserve">D</t>
  </si>
  <si>
    <t xml:space="preserve">Pemeliharaan Kendaraan Bermotor Roda 4 dan 6</t>
  </si>
  <si>
    <t xml:space="preserve">-Pemeliharaan Kendaraan dinas Roda 4 Pejabat</t>
  </si>
  <si>
    <t xml:space="preserve">-Pemeliharaan Kendaraan Dinas Operasional  Roda 4</t>
  </si>
  <si>
    <t xml:space="preserve">-Pemeliharaan Kendaraan Dinas Operasional Double Gardan</t>
  </si>
  <si>
    <t xml:space="preserve">Jasa Kebersihan / Keamanan Perkantoran</t>
  </si>
  <si>
    <t xml:space="preserve">Belanja Keperluan Perkantoran</t>
  </si>
  <si>
    <t xml:space="preserve">-Biaya Tenaga Kontraktual (2 Satpam, 2 Cleaning Service) ( 4 org x 13bln)</t>
  </si>
  <si>
    <t xml:space="preserve">OB</t>
  </si>
  <si>
    <t xml:space="preserve">-Biaya Alat dan Bahan</t>
  </si>
  <si>
    <t xml:space="preserve">-Sewa alat kebersihan</t>
  </si>
  <si>
    <t xml:space="preserve">-Sewa alat calspry signature white ( 10 unit x 12 bln)</t>
  </si>
  <si>
    <t xml:space="preserve">UB</t>
  </si>
  <si>
    <t xml:space="preserve">Operasional Perkantoran dan Pimpinan</t>
  </si>
  <si>
    <t xml:space="preserve">-Keperluan sehari - hari perkantoran ( 67 Org x 1 Thn)</t>
  </si>
  <si>
    <t xml:space="preserve">-Keperluan sehari - hari perkantoran </t>
  </si>
  <si>
    <t xml:space="preserve">Belanja Pengiriman Surat Dinas Pos Pusat</t>
  </si>
  <si>
    <t xml:space="preserve">-Pengiriman Surat dan Dokumen Keluar ( 12 bln x 50 lbr)</t>
  </si>
  <si>
    <t xml:space="preserve">Lbr</t>
  </si>
  <si>
    <t xml:space="preserve">-Penyampaian SPP BHP seJatim</t>
  </si>
  <si>
    <t xml:space="preserve">- Kuasa Pengguna Anggaran ( 1 Org x 12 bln)</t>
  </si>
  <si>
    <t xml:space="preserve">- Pejabat Pembuat Komitmen (PPK) ( 1 Org x 12 bln)</t>
  </si>
  <si>
    <t xml:space="preserve">- Pejabat Pembuat Komitmen (PPK)</t>
  </si>
  <si>
    <t xml:space="preserve">- Pejabat Penguji Tagihan dan Penandatanganan SPM ( 1 Org x 12 bln)</t>
  </si>
  <si>
    <t xml:space="preserve">- Bendahara Pengeluaran ( 1 Org x 12 Bln)</t>
  </si>
  <si>
    <t xml:space="preserve">- Staf pengelola keuangan ( 3 Org x 12 bln)</t>
  </si>
  <si>
    <t xml:space="preserve">- Penanggung jawab UAKP/UAKPB ( 1 Org x 12 bln)</t>
  </si>
  <si>
    <t xml:space="preserve">- Anggota pengelola UAKPA/UAKPB ( 5 Org x 12 bln)</t>
  </si>
  <si>
    <t xml:space="preserve">- Pejabat Pengadaan Barang dan Jasa ( 3 Org x 12 bln)</t>
  </si>
  <si>
    <t xml:space="preserve">- Pengurus/Penyimpan BMN tingkat KPS ( 2 Org x 12bln)</t>
  </si>
  <si>
    <t xml:space="preserve">Belanja Barang Persediaan Barang Konsumsi</t>
  </si>
  <si>
    <t xml:space="preserve">- Bahan komputer dan printer</t>
  </si>
  <si>
    <t xml:space="preserve">- Biaya Cetak Bahan Sosialisasi Perijinan dan SPP-BHP (Brosur, Banner, Amplop)</t>
  </si>
  <si>
    <t xml:space="preserve">- Alat Tulis Kantor (ATK)</t>
  </si>
  <si>
    <t xml:space="preserve">Sewa mesin fotokopi</t>
  </si>
  <si>
    <t xml:space="preserve">- Sewa mesin fotokopi</t>
  </si>
  <si>
    <t xml:space="preserve">Sewa Lokasi</t>
  </si>
  <si>
    <t xml:space="preserve">- Sewa Lokasi Alkom (repeater) di lokasi (Surabaya I,II, III, Kediri, Probolinggo I, II, Jember, Banyuwangi, Magetan, Nganjuk)</t>
  </si>
  <si>
    <t xml:space="preserve">- Sewa Lokasi SMFR Transportable Glagah Banyuwangi 1 Lok x 12 Bln</t>
  </si>
  <si>
    <t xml:space="preserve">- Sewa  Lokasi  SMFR Transportable Singojuruh Banyuwangi 1 Lok x 12 Bln</t>
  </si>
  <si>
    <t xml:space="preserve">- Sewa Lokasi SMFR Transportable Srono Banyuwangi 1 Lok x 12 Bln</t>
  </si>
  <si>
    <t xml:space="preserve">- Sewa Lokasi SMFR Transportable Madiun 1 Lok x 12 Bln</t>
  </si>
  <si>
    <t xml:space="preserve">- Sewa Lokasi Khusus SMFR Transportable Tulungagung 1 Lok x 12 Bln</t>
  </si>
  <si>
    <t xml:space="preserve">- Sewa Lokasi Khusus SMFR Transportable Jember 1 Lok x 12 Bln</t>
  </si>
  <si>
    <t xml:space="preserve">- Sewa Lokasi SMFR di Probolinggo 1 Lok x 12 Bln</t>
  </si>
  <si>
    <t xml:space="preserve">- Sewa Lokasi SMFR Malang 1 Lok x 12 Bln</t>
  </si>
  <si>
    <t xml:space="preserve">- Sewa Lokasi SMFR Kediri 1 Lok x 12 Bln</t>
  </si>
  <si>
    <t xml:space="preserve">Sewa Internet </t>
  </si>
  <si>
    <t xml:space="preserve">- Sewa Internet SMFR Surabaya (4 titik  Mulyorejo, Sukodono, Benowo, Master Station)</t>
  </si>
  <si>
    <t xml:space="preserve">- Sewa Internet dan atau Intranet Khusus SMFR di Kediri</t>
  </si>
  <si>
    <t xml:space="preserve">- Sewa Internet dan atau Intranet Khusus SMFR di Malang</t>
  </si>
  <si>
    <t xml:space="preserve">-Sewa Internet dan atau Intranet Khusus SMFR di Probolinggo ( 1 lok x 12 bln)</t>
  </si>
  <si>
    <t xml:space="preserve">- Sewa  Internet  dan atau Intranet SMFR Transportable Glagah Banyuwangi (1 lok x 12 bln)</t>
  </si>
  <si>
    <t xml:space="preserve">- Sewa Internet dan atau Intranet SMFR Transportable Singojuruh Banyuwangi ( 1 lok x 12 bln)</t>
  </si>
  <si>
    <t xml:space="preserve">- Sewa Internet dan atau Intranet Khusus SMFR Transportable Srono Banyuwangi ( 1 lok x 12 bln)</t>
  </si>
  <si>
    <t xml:space="preserve">- Sewa Internet dan atau Intranet Khusus SMFR Transportable Madiun ( 1 lok x 12 bln)</t>
  </si>
  <si>
    <t xml:space="preserve">- Sewa Internet dan atau Intranet Khusus SMFR Transportable Tulungagung ( 1 lok x 12 bln)</t>
  </si>
  <si>
    <t xml:space="preserve">- Sewa Internet dan atau Intranet  Khusus SMFR Transportable Jember ( 1 lok x 12 bln)</t>
  </si>
  <si>
    <t xml:space="preserve">- Sewa Internet dan atau Intranet  Khusus SMFR Transportable Bojonegoro ( 1 lok x 12 bln)</t>
  </si>
  <si>
    <t xml:space="preserve">Belanja Jasa Lainnya</t>
  </si>
  <si>
    <t xml:space="preserve">- Upah PJLP ( 2 Org x 13 Bln)</t>
  </si>
  <si>
    <t xml:space="preserve">Belanja Pemeliharaan Lainnya</t>
  </si>
  <si>
    <t xml:space="preserve">- Biaya Langganan Aplikasi Artificial Intelligence</t>
  </si>
  <si>
    <t xml:space="preserve">- Biaya Langganan Aplikasi Artificial Intelligence dan Aplikasi Remote Dekstop</t>
  </si>
  <si>
    <t xml:space="preserve">Langganan Daya dan Jasa</t>
  </si>
  <si>
    <t xml:space="preserve">Belanja Langganan Listrik</t>
  </si>
  <si>
    <t xml:space="preserve">- Listrik</t>
  </si>
  <si>
    <t xml:space="preserve">Belanja Langganan Telepon</t>
  </si>
  <si>
    <t xml:space="preserve">- Telepon</t>
  </si>
  <si>
    <t xml:space="preserve">Belanja Langganan Air</t>
  </si>
  <si>
    <t xml:space="preserve">- Air</t>
  </si>
  <si>
    <t xml:space="preserve">Belanja Langganan Daya dan Jasa Lainnya</t>
  </si>
  <si>
    <t xml:space="preserve">- Langganan jaringan internet kantor Balmon Surabaya (100 Mbps)</t>
  </si>
  <si>
    <t xml:space="preserve">Administrasi Kegiatan</t>
  </si>
  <si>
    <t xml:space="preserve">- Belanja ATK keperluan Pengadaan Barang / Jasa</t>
  </si>
  <si>
    <t xml:space="preserve">- Belanja Materai untuk kebutuhan kontrak</t>
  </si>
  <si>
    <t xml:space="preserve">J</t>
  </si>
  <si>
    <t xml:space="preserve">Medical Check-Up</t>
  </si>
  <si>
    <t xml:space="preserve">- Medical Check Up Pegawai 67 org x 1 Keg</t>
  </si>
  <si>
    <t xml:space="preserve">Surabaya,      09 Oktober  2026</t>
  </si>
  <si>
    <t xml:space="preserve"> </t>
  </si>
  <si>
    <t xml:space="preserve">KEPALA BALAI MONITOR KELAS I SURABAYA</t>
  </si>
  <si>
    <t xml:space="preserve">SYAMSUL HUDA</t>
  </si>
  <si>
    <t xml:space="preserve">NIP : 197202151994031001</t>
  </si>
  <si>
    <t xml:space="preserve">Standar Biaya Masukan Lainnya (SBML)</t>
  </si>
  <si>
    <t xml:space="preserve">Makanan/Minuman Penambah Daya Tahan Tubuh [65 org x 22 hari x 12 bulan]</t>
  </si>
  <si>
    <t xml:space="preserve">BBM Koordinasi Persiapan Sosialisasi MOTS ( 50 ltr x 1 Mbl x 3 Hari x 1 keg)</t>
  </si>
  <si>
    <t xml:space="preserve">BBM Monev Rutin ISR, MOTS ( 40 ltr x 1 Mbl x 3 Hari x 2 Keg)</t>
  </si>
  <si>
    <t xml:space="preserve">BBM Operasional pemeriksaan rutin Alkom [ 21 liter x 1 mbl x 5 hari x 3 keg]</t>
  </si>
  <si>
    <t xml:space="preserve">BBM Operasional pemeriksaan rutin SMFR [ 45 liter x 1 mbl x 5 hari x 6 keg]</t>
  </si>
  <si>
    <t xml:space="preserve">BBM Operasional inspeksi Validasi Izin Stasiun Radio Dalam Kota [ 30 liter x 1 mbl x 5 hari x 3 keg]</t>
  </si>
  <si>
    <t xml:space="preserve">BBM Inspeksi Validasi Izin Stasiun Radio Luar Kota (45 ltr x 1 Mbl x 5 hari x 12 Keg)</t>
  </si>
  <si>
    <t xml:space="preserve">Sewa kendaraan Roda 4 (Inspeksi Validasi Izin Stasiun Radio Luar Kota Transportasi Udara) (1 Mbl x 5 hari x 1 keg)</t>
  </si>
  <si>
    <t xml:space="preserve">BBM Koordinasi Lokal UNAR (40 ltr x 1 mbl x 3 hari x 4 keg)</t>
  </si>
  <si>
    <t xml:space="preserve">Sewa Laptop ( 36 buah x 1 hari x 5 keg) UNAR</t>
  </si>
  <si>
    <t xml:space="preserve">Sewa Kendaraan [1 mbl x 3 hari x 2 keg] Pemeriksaan BMN Luar Kota</t>
  </si>
  <si>
    <t xml:space="preserve">BBM luar Kota [ 45 liter x 1 mbl x 5 hari x 5 keg] Pencegahan Piutang BHP Frekuensi Radio</t>
  </si>
  <si>
    <t xml:space="preserve">BBM dalam Kota [ 14 liter x 1 mbl x 5 hari x 3 keg] Pencegahan Piutang BHP Frekuensi Radio</t>
  </si>
  <si>
    <t xml:space="preserve">7437.BAH.U07</t>
  </si>
  <si>
    <t xml:space="preserve">BBM Operasional (38 liter x 1 Mbl x 5 Hari x 6 Keg)</t>
  </si>
  <si>
    <t xml:space="preserve">7437.BAH.U08</t>
  </si>
  <si>
    <t xml:space="preserve">BBM Operasional (32 liter x 1 Mbl x 5 Hari x 50 Keg)</t>
  </si>
  <si>
    <t xml:space="preserve">7437.BAH.U11</t>
  </si>
  <si>
    <t xml:space="preserve">BBM Operasional (27 liter x 1 Mbl x 5 Hari x 5 Keg)</t>
  </si>
  <si>
    <t xml:space="preserve">BBM Pelaksanaan Penertiban Luar Kota (25ltr x 1 Mbl x 5 hr x 5 keg)</t>
  </si>
  <si>
    <t xml:space="preserve">994.002</t>
  </si>
  <si>
    <t xml:space="preserve">Biaya Tenaga Kontraktual (2 Satpam, 2 Cleaning Service) ( 4 org x 13bln)</t>
  </si>
  <si>
    <t xml:space="preserve">Honor Pejabat Pembuat Komitmen (PPK)</t>
  </si>
  <si>
    <t xml:space="preserve">Listrik</t>
  </si>
  <si>
    <t xml:space="preserve">Langganan jaringan internet kantor Balmon Surabaya (100 Mbps)</t>
  </si>
  <si>
    <t xml:space="preserve">994.960</t>
  </si>
  <si>
    <t xml:space="preserve">Paket Data Pengukuran Kualitas Layanan Telekomunikasi</t>
  </si>
  <si>
    <t xml:space="preserve">Rencana Revisi 9</t>
  </si>
  <si>
    <t xml:space="preserve">078.103A</t>
  </si>
  <si>
    <t xml:space="preserve">000019. Biaya Operasional Genset </t>
  </si>
  <si>
    <t xml:space="preserve">078.103I</t>
  </si>
  <si>
    <t xml:space="preserve">BBM Pengukuran Kualitas Layanan Telekomunikasi (QOS) Dalam Kota (32 ltr x 1 Mbl x 5 hari x 2 keg)</t>
  </si>
  <si>
    <t xml:space="preserve">078.103L</t>
  </si>
  <si>
    <t xml:space="preserve">Sewa Laptop (35 unit x 1 hari x 4 keg) UNAR</t>
  </si>
  <si>
    <t xml:space="preserve">078.103N</t>
  </si>
  <si>
    <t xml:space="preserve">Seminar Kit Capkin</t>
  </si>
  <si>
    <t xml:space="preserve">078.103E</t>
  </si>
  <si>
    <t xml:space="preserve">Pengadaan Seminar Kit Pemusnahan</t>
  </si>
  <si>
    <t xml:space="preserve">Pengadaan Perlengkapan Pegawai Teknis</t>
  </si>
  <si>
    <t xml:space="preserve">- Baju Teknis</t>
  </si>
  <si>
    <t xml:space="preserve">- Seragam Upacara</t>
  </si>
  <si>
    <t xml:space="preserve"> Pembuatan Video ILM ZI</t>
  </si>
  <si>
    <t xml:space="preserve">Keperluan Sehari hari perkantoran</t>
  </si>
  <si>
    <t xml:space="preserve">Perbaikan Interior Mobil Monitor</t>
  </si>
  <si>
    <t xml:space="preserve">Kendaraan Operasional </t>
  </si>
  <si>
    <t xml:space="preserve">Perbaikan Rudin</t>
  </si>
  <si>
    <t xml:space="preserve">Biaya Langganan Aplikasi Artificial Intelligence</t>
  </si>
  <si>
    <t xml:space="preserve">- Langganan Claude</t>
  </si>
  <si>
    <t xml:space="preserve">- langganan Canva</t>
  </si>
  <si>
    <t xml:space="preserve">Biaya Langganan Aplikasi Remote Desktop</t>
  </si>
  <si>
    <t xml:space="preserve">detail baru</t>
  </si>
  <si>
    <t xml:space="preserve">Perbaikan Genset</t>
  </si>
  <si>
    <t xml:space="preserve">Pemeliharaan Inventaris </t>
  </si>
  <si>
    <t xml:space="preserve">Langganan Lisensi Aplikasi Video Conference dan aplikasi teknis</t>
  </si>
  <si>
    <t xml:space="preserve">- Cloud TU 2TB</t>
  </si>
  <si>
    <t xml:space="preserve">- Cloud Kuala 200GB</t>
  </si>
  <si>
    <t xml:space="preserve">- Cloud Montib 200GB</t>
  </si>
  <si>
    <t xml:space="preserve">- Cloud Sarpras Mola 200GB</t>
  </si>
  <si>
    <t xml:space="preserve">- Langganan Akun Ig</t>
  </si>
  <si>
    <t xml:space="preserve">Total Revisi</t>
  </si>
  <si>
    <t xml:space="preserve">7437.BAH.U10</t>
  </si>
  <si>
    <t xml:space="preserve">994.001</t>
  </si>
  <si>
    <t xml:space="preserve">TOTAL</t>
  </si>
  <si>
    <t xml:space="preserve">Pagu</t>
  </si>
  <si>
    <t xml:space="preserve">realisasi</t>
  </si>
  <si>
    <t xml:space="preserve">Sisa</t>
  </si>
  <si>
    <t xml:space="preserve">Est s/d Des</t>
  </si>
  <si>
    <t xml:space="preserve">Revisi</t>
  </si>
  <si>
    <t xml:space="preserve">Tambah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</si>
</sst>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(* #,##0_);_(* \(#,##0\);_(* \-??_);_(@_)"/>
    <numFmt numFmtId="166" formatCode="#,##0"/>
    <numFmt numFmtId="167" formatCode="_(* #,##0_);_(* \(#,##0\);_(* \-_);_(@_)"/>
    <numFmt numFmtId="168" formatCode="_-* #,##0_-;\-* #,##0_-;_-* \-_-;_-@_-"/>
    <numFmt numFmtId="169" formatCode="General"/>
    <numFmt numFmtId="170" formatCode="#,##0.0000"/>
    <numFmt numFmtId="171" formatCode="_(* #,##0.00_);_(* \(#,##0.00\);_(* \-??_);_(@_)"/>
    <numFmt numFmtId="172" formatCode="_-* #,##0.00_-;\-* #,##0.00_-;_-* \-??_-;_-@_-"/>
    <numFmt numFmtId="173" formatCode="_-* #,##0_-;\-* #,##0_-;_-* \-??_-;_-@_-"/>
    <numFmt numFmtId="174" formatCode="h:mm\ AM/PM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Times New Roman"/>
      <family val="1"/>
      <charset val="1"/>
    </font>
    <font>
      <b val="true"/>
      <sz val="16"/>
      <color theme="1"/>
      <name val="Calibri"/>
      <family val="2"/>
      <charset val="1"/>
    </font>
    <font>
      <b val="true"/>
      <sz val="12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Times New Roman"/>
      <family val="0"/>
      <charset val="1"/>
    </font>
    <font>
      <b val="true"/>
      <sz val="11"/>
      <name val="Calibri"/>
      <family val="2"/>
      <charset val="1"/>
    </font>
    <font>
      <b val="true"/>
      <sz val="11"/>
      <name val="Times New Roman"/>
      <family val="1"/>
      <charset val="1"/>
    </font>
    <font>
      <sz val="11"/>
      <name val="Times New Roman"/>
      <family val="1"/>
      <charset val="1"/>
    </font>
    <font>
      <b val="true"/>
      <i val="true"/>
      <sz val="11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u val="single"/>
      <sz val="11"/>
      <name val="Times New Roman"/>
      <family val="1"/>
      <charset val="1"/>
    </font>
    <font>
      <sz val="11"/>
      <name val="Times New Roman"/>
      <family val="0"/>
      <charset val="1"/>
    </font>
    <font>
      <b val="true"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F0000"/>
      <name val="Times New Roman"/>
      <family val="1"/>
      <charset val="1"/>
    </font>
    <font>
      <sz val="11"/>
      <color theme="2" tint="-0.75"/>
      <name val="Times New Roman"/>
      <family val="1"/>
      <charset val="1"/>
    </font>
    <font>
      <b val="true"/>
      <sz val="11"/>
      <color theme="2" tint="-0.75"/>
      <name val="Times New Roman"/>
      <family val="1"/>
      <charset val="1"/>
    </font>
    <font>
      <sz val="11"/>
      <color theme="2" tint="-0.75"/>
      <name val="Calibri"/>
      <family val="2"/>
      <charset val="1"/>
    </font>
    <font>
      <b val="true"/>
      <i val="true"/>
      <sz val="11"/>
      <color theme="2" tint="-0.75"/>
      <name val="Times New Roman"/>
      <family val="1"/>
      <charset val="1"/>
    </font>
    <font>
      <i val="true"/>
      <sz val="11"/>
      <color theme="2" tint="-0.75"/>
      <name val="Times New Roman"/>
      <family val="1"/>
      <charset val="1"/>
    </font>
    <font>
      <b val="true"/>
      <sz val="11"/>
      <color theme="2" tint="-0.75"/>
      <name val="Calibri"/>
      <family val="2"/>
      <charset val="1"/>
    </font>
    <font>
      <sz val="12"/>
      <name val="Times New Roman"/>
      <family val="1"/>
      <charset val="1"/>
    </font>
    <font>
      <b val="true"/>
      <u val="single"/>
      <sz val="12"/>
      <name val="Times New Roman"/>
      <family val="1"/>
      <charset val="1"/>
    </font>
    <font>
      <sz val="10"/>
      <name val="Arial"/>
      <family val="2"/>
    </font>
    <font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E2F0D9"/>
      </patternFill>
    </fill>
    <fill>
      <patternFill patternType="solid">
        <fgColor theme="8"/>
        <bgColor rgb="FF8497B0"/>
      </patternFill>
    </fill>
    <fill>
      <patternFill patternType="solid">
        <fgColor theme="1" tint="0.4999"/>
        <bgColor rgb="FF8497B0"/>
      </patternFill>
    </fill>
    <fill>
      <patternFill patternType="solid">
        <fgColor theme="9" tint="0.5999"/>
        <bgColor rgb="FFE2F0D9"/>
      </patternFill>
    </fill>
    <fill>
      <patternFill patternType="solid">
        <fgColor theme="3" tint="0.3999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5E0B4"/>
      </patternFill>
    </fill>
    <fill>
      <patternFill patternType="solid">
        <fgColor theme="0" tint="-0.25"/>
        <bgColor rgb="FF9DC3E6"/>
      </patternFill>
    </fill>
    <fill>
      <patternFill patternType="solid">
        <fgColor theme="8" tint="0.3999"/>
        <bgColor rgb="FFBFBFBF"/>
      </patternFill>
    </fill>
    <fill>
      <patternFill patternType="solid">
        <fgColor theme="5" tint="0.5999"/>
        <bgColor rgb="FFFBE5D6"/>
      </patternFill>
    </fill>
    <fill>
      <patternFill patternType="solid">
        <fgColor rgb="FFFFC000"/>
        <bgColor rgb="FFFF9900"/>
      </patternFill>
    </fill>
    <fill>
      <patternFill patternType="solid">
        <fgColor theme="5" tint="0.7999"/>
        <bgColor rgb="FFE2F0D9"/>
      </patternFill>
    </fill>
    <fill>
      <patternFill patternType="solid">
        <fgColor theme="5"/>
        <bgColor rgb="FFFF8080"/>
      </patternFill>
    </fill>
    <fill>
      <patternFill patternType="solid">
        <fgColor rgb="FF00B050"/>
        <bgColor rgb="FF008080"/>
      </patternFill>
    </fill>
    <fill>
      <patternFill patternType="solid">
        <fgColor theme="9" tint="0.7999"/>
        <bgColor rgb="FFDAE3F3"/>
      </patternFill>
    </fill>
    <fill>
      <patternFill patternType="solid">
        <fgColor theme="4" tint="0.7999"/>
        <bgColor rgb="FFE2F0D9"/>
      </patternFill>
    </fill>
    <fill>
      <patternFill patternType="solid">
        <fgColor theme="9" tint="-0.5"/>
        <bgColor rgb="FF3B3838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2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1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3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7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0" fillId="7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7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2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13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2" borderId="1" xfId="1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3" fillId="2" borderId="1" xfId="1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1" fillId="0" borderId="1" xfId="1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1" fillId="0" borderId="1" xfId="1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1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1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1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2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7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4" borderId="1" xfId="1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2" fillId="14" borderId="1" xfId="1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14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4" borderId="2" xfId="1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14" borderId="10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1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3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15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0" fillId="0" borderId="0" xfId="15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1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17" borderId="0" xfId="15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7" borderId="0" xfId="15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7" borderId="0" xfId="15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1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15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7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12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5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9" fillId="12" borderId="0" xfId="15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0" fillId="1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12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15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1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5B9BD5"/>
      <rgbColor rgb="FF993366"/>
      <rgbColor rgb="FFFBE5D6"/>
      <rgbColor rgb="FFC5E0B4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DC3E6"/>
      <rgbColor rgb="FFFF99CC"/>
      <rgbColor rgb="FFCC99FF"/>
      <rgbColor rgb="FFF8CBAD"/>
      <rgbColor rgb="FF3366FF"/>
      <rgbColor rgb="FF33CCCC"/>
      <rgbColor rgb="FF92D050"/>
      <rgbColor rgb="FFFFC000"/>
      <rgbColor rgb="FFFF9900"/>
      <rgbColor rgb="FFED7D31"/>
      <rgbColor rgb="FF666699"/>
      <rgbColor rgb="FF8497B0"/>
      <rgbColor rgb="FF003366"/>
      <rgbColor rgb="FF00B050"/>
      <rgbColor rgb="FF003300"/>
      <rgbColor rgb="FF385724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41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47" zoomScalePageLayoutView="100" workbookViewId="0">
      <pane xSplit="0" ySplit="6" topLeftCell="A60" activePane="bottomLeft" state="frozen"/>
      <selection pane="topLeft" activeCell="A1" activeCellId="0" sqref="A1"/>
      <selection pane="bottomLeft" activeCell="T433" activeCellId="0" sqref="T433"/>
    </sheetView>
  </sheetViews>
  <sheetFormatPr defaultColWidth="8.82421875" defaultRowHeight="14.25" zeroHeight="false" outlineLevelRow="1" outlineLevelCol="0"/>
  <cols>
    <col collapsed="false" customWidth="true" hidden="false" outlineLevel="0" max="1" min="1" style="0" width="17.18"/>
    <col collapsed="false" customWidth="true" hidden="false" outlineLevel="0" max="2" min="2" style="0" width="43"/>
    <col collapsed="false" customWidth="true" hidden="false" outlineLevel="0" max="3" min="3" style="0" width="6.54"/>
    <col collapsed="false" customWidth="true" hidden="false" outlineLevel="0" max="4" min="4" style="0" width="11.18"/>
    <col collapsed="false" customWidth="true" hidden="false" outlineLevel="0" max="5" min="5" style="0" width="15.09"/>
    <col collapsed="false" customWidth="true" hidden="false" outlineLevel="0" max="6" min="6" style="0" width="20.54"/>
    <col collapsed="false" customWidth="true" hidden="false" outlineLevel="0" max="7" min="7" style="0" width="3.54"/>
    <col collapsed="false" customWidth="true" hidden="false" outlineLevel="0" max="8" min="8" style="0" width="3.09"/>
    <col collapsed="false" customWidth="true" hidden="false" outlineLevel="0" max="9" min="9" style="0" width="19.18"/>
    <col collapsed="false" customWidth="true" hidden="false" outlineLevel="0" max="10" min="10" style="0" width="39.18"/>
    <col collapsed="false" customWidth="true" hidden="false" outlineLevel="0" max="11" min="11" style="0" width="11.45"/>
    <col collapsed="false" customWidth="true" hidden="false" outlineLevel="0" max="12" min="12" style="0" width="11.09"/>
    <col collapsed="false" customWidth="true" hidden="false" outlineLevel="0" max="13" min="13" style="0" width="14.63"/>
    <col collapsed="false" customWidth="true" hidden="false" outlineLevel="0" max="14" min="14" style="0" width="21.36"/>
    <col collapsed="false" customWidth="true" hidden="true" outlineLevel="0" max="15" min="15" style="1" width="16.09"/>
    <col collapsed="false" customWidth="true" hidden="true" outlineLevel="0" max="16" min="16" style="0" width="16.45"/>
    <col collapsed="false" customWidth="true" hidden="true" outlineLevel="0" max="17" min="17" style="0" width="15.18"/>
    <col collapsed="false" customWidth="true" hidden="true" outlineLevel="0" max="18" min="18" style="0" width="17.18"/>
    <col collapsed="false" customWidth="true" hidden="true" outlineLevel="0" max="19" min="19" style="2" width="20.18"/>
    <col collapsed="false" customWidth="true" hidden="false" outlineLevel="0" max="20" min="20" style="2" width="24.45"/>
    <col collapsed="false" customWidth="true" hidden="false" outlineLevel="0" max="21" min="21" style="2" width="26"/>
    <col collapsed="false" customWidth="true" hidden="false" outlineLevel="0" max="252" min="22" style="2" width="22"/>
    <col collapsed="false" customWidth="true" hidden="false" outlineLevel="0" max="253" min="253" style="2" width="18.54"/>
    <col collapsed="false" customWidth="true" hidden="false" outlineLevel="0" max="254" min="254" style="2" width="50.82"/>
    <col collapsed="false" customWidth="true" hidden="false" outlineLevel="0" max="255" min="255" style="2" width="9.45"/>
    <col collapsed="false" customWidth="true" hidden="false" outlineLevel="0" max="256" min="256" style="2" width="11.18"/>
    <col collapsed="false" customWidth="true" hidden="false" outlineLevel="0" max="257" min="257" style="2" width="17.82"/>
    <col collapsed="false" customWidth="true" hidden="false" outlineLevel="0" max="258" min="258" style="2" width="22"/>
    <col collapsed="false" customWidth="true" hidden="false" outlineLevel="0" max="259" min="259" style="2" width="3.45"/>
    <col collapsed="false" customWidth="true" hidden="false" outlineLevel="0" max="260" min="260" style="2" width="7.82"/>
    <col collapsed="false" customWidth="true" hidden="false" outlineLevel="0" max="261" min="261" style="2" width="22"/>
    <col collapsed="false" customWidth="true" hidden="false" outlineLevel="0" max="262" min="262" style="2" width="14.54"/>
    <col collapsed="false" customWidth="false" hidden="false" outlineLevel="0" max="508" min="263" style="2" width="8.82"/>
    <col collapsed="false" customWidth="true" hidden="false" outlineLevel="0" max="509" min="509" style="2" width="18.54"/>
    <col collapsed="false" customWidth="true" hidden="false" outlineLevel="0" max="510" min="510" style="2" width="50.82"/>
    <col collapsed="false" customWidth="true" hidden="false" outlineLevel="0" max="511" min="511" style="2" width="9.45"/>
    <col collapsed="false" customWidth="true" hidden="false" outlineLevel="0" max="512" min="512" style="2" width="11.18"/>
    <col collapsed="false" customWidth="true" hidden="false" outlineLevel="0" max="513" min="513" style="2" width="17.82"/>
    <col collapsed="false" customWidth="true" hidden="false" outlineLevel="0" max="514" min="514" style="2" width="22"/>
    <col collapsed="false" customWidth="true" hidden="false" outlineLevel="0" max="515" min="515" style="2" width="3.45"/>
    <col collapsed="false" customWidth="true" hidden="false" outlineLevel="0" max="516" min="516" style="2" width="7.82"/>
    <col collapsed="false" customWidth="true" hidden="false" outlineLevel="0" max="517" min="517" style="2" width="22"/>
    <col collapsed="false" customWidth="true" hidden="false" outlineLevel="0" max="518" min="518" style="2" width="14.54"/>
    <col collapsed="false" customWidth="false" hidden="false" outlineLevel="0" max="764" min="519" style="2" width="8.82"/>
    <col collapsed="false" customWidth="true" hidden="false" outlineLevel="0" max="765" min="765" style="2" width="18.54"/>
    <col collapsed="false" customWidth="true" hidden="false" outlineLevel="0" max="766" min="766" style="2" width="50.82"/>
    <col collapsed="false" customWidth="true" hidden="false" outlineLevel="0" max="767" min="767" style="2" width="9.45"/>
    <col collapsed="false" customWidth="true" hidden="false" outlineLevel="0" max="768" min="768" style="2" width="11.18"/>
    <col collapsed="false" customWidth="true" hidden="false" outlineLevel="0" max="769" min="769" style="2" width="17.82"/>
    <col collapsed="false" customWidth="true" hidden="false" outlineLevel="0" max="770" min="770" style="2" width="22"/>
    <col collapsed="false" customWidth="true" hidden="false" outlineLevel="0" max="771" min="771" style="2" width="3.45"/>
    <col collapsed="false" customWidth="true" hidden="false" outlineLevel="0" max="772" min="772" style="2" width="7.82"/>
    <col collapsed="false" customWidth="true" hidden="false" outlineLevel="0" max="773" min="773" style="2" width="22"/>
    <col collapsed="false" customWidth="true" hidden="false" outlineLevel="0" max="774" min="774" style="2" width="14.54"/>
    <col collapsed="false" customWidth="false" hidden="false" outlineLevel="0" max="1020" min="775" style="2" width="8.82"/>
    <col collapsed="false" customWidth="true" hidden="false" outlineLevel="0" max="1021" min="1021" style="2" width="18.54"/>
    <col collapsed="false" customWidth="true" hidden="false" outlineLevel="0" max="1022" min="1022" style="2" width="50.82"/>
    <col collapsed="false" customWidth="true" hidden="false" outlineLevel="0" max="1023" min="1023" style="2" width="9.45"/>
    <col collapsed="false" customWidth="true" hidden="false" outlineLevel="0" max="1024" min="1024" style="2" width="11.18"/>
    <col collapsed="false" customWidth="true" hidden="false" outlineLevel="0" max="1025" min="1025" style="2" width="17.82"/>
    <col collapsed="false" customWidth="true" hidden="false" outlineLevel="0" max="1026" min="1026" style="2" width="22"/>
    <col collapsed="false" customWidth="true" hidden="false" outlineLevel="0" max="1027" min="1027" style="2" width="3.45"/>
    <col collapsed="false" customWidth="true" hidden="false" outlineLevel="0" max="1028" min="1028" style="2" width="7.82"/>
    <col collapsed="false" customWidth="true" hidden="false" outlineLevel="0" max="1029" min="1029" style="2" width="22"/>
    <col collapsed="false" customWidth="true" hidden="false" outlineLevel="0" max="1030" min="1030" style="2" width="14.54"/>
    <col collapsed="false" customWidth="false" hidden="false" outlineLevel="0" max="1276" min="1031" style="2" width="8.82"/>
    <col collapsed="false" customWidth="true" hidden="false" outlineLevel="0" max="1277" min="1277" style="2" width="18.54"/>
    <col collapsed="false" customWidth="true" hidden="false" outlineLevel="0" max="1278" min="1278" style="2" width="50.82"/>
    <col collapsed="false" customWidth="true" hidden="false" outlineLevel="0" max="1279" min="1279" style="2" width="9.45"/>
    <col collapsed="false" customWidth="true" hidden="false" outlineLevel="0" max="1280" min="1280" style="2" width="11.18"/>
    <col collapsed="false" customWidth="true" hidden="false" outlineLevel="0" max="1281" min="1281" style="2" width="17.82"/>
    <col collapsed="false" customWidth="true" hidden="false" outlineLevel="0" max="1282" min="1282" style="2" width="22"/>
    <col collapsed="false" customWidth="true" hidden="false" outlineLevel="0" max="1283" min="1283" style="2" width="3.45"/>
    <col collapsed="false" customWidth="true" hidden="false" outlineLevel="0" max="1284" min="1284" style="2" width="7.82"/>
    <col collapsed="false" customWidth="true" hidden="false" outlineLevel="0" max="1285" min="1285" style="2" width="22"/>
    <col collapsed="false" customWidth="true" hidden="false" outlineLevel="0" max="1286" min="1286" style="2" width="14.54"/>
    <col collapsed="false" customWidth="false" hidden="false" outlineLevel="0" max="1532" min="1287" style="2" width="8.82"/>
    <col collapsed="false" customWidth="true" hidden="false" outlineLevel="0" max="1533" min="1533" style="2" width="18.54"/>
    <col collapsed="false" customWidth="true" hidden="false" outlineLevel="0" max="1534" min="1534" style="2" width="50.82"/>
    <col collapsed="false" customWidth="true" hidden="false" outlineLevel="0" max="1535" min="1535" style="2" width="9.45"/>
    <col collapsed="false" customWidth="true" hidden="false" outlineLevel="0" max="1536" min="1536" style="2" width="11.18"/>
    <col collapsed="false" customWidth="true" hidden="false" outlineLevel="0" max="1537" min="1537" style="2" width="17.82"/>
    <col collapsed="false" customWidth="true" hidden="false" outlineLevel="0" max="1538" min="1538" style="2" width="22"/>
    <col collapsed="false" customWidth="true" hidden="false" outlineLevel="0" max="1539" min="1539" style="2" width="3.45"/>
    <col collapsed="false" customWidth="true" hidden="false" outlineLevel="0" max="1540" min="1540" style="2" width="7.82"/>
    <col collapsed="false" customWidth="true" hidden="false" outlineLevel="0" max="1541" min="1541" style="2" width="22"/>
    <col collapsed="false" customWidth="true" hidden="false" outlineLevel="0" max="1542" min="1542" style="2" width="14.54"/>
    <col collapsed="false" customWidth="false" hidden="false" outlineLevel="0" max="1788" min="1543" style="2" width="8.82"/>
    <col collapsed="false" customWidth="true" hidden="false" outlineLevel="0" max="1789" min="1789" style="2" width="18.54"/>
    <col collapsed="false" customWidth="true" hidden="false" outlineLevel="0" max="1790" min="1790" style="2" width="50.82"/>
    <col collapsed="false" customWidth="true" hidden="false" outlineLevel="0" max="1791" min="1791" style="2" width="9.45"/>
    <col collapsed="false" customWidth="true" hidden="false" outlineLevel="0" max="1792" min="1792" style="2" width="11.18"/>
    <col collapsed="false" customWidth="true" hidden="false" outlineLevel="0" max="1793" min="1793" style="2" width="17.82"/>
    <col collapsed="false" customWidth="true" hidden="false" outlineLevel="0" max="1794" min="1794" style="2" width="22"/>
    <col collapsed="false" customWidth="true" hidden="false" outlineLevel="0" max="1795" min="1795" style="2" width="3.45"/>
    <col collapsed="false" customWidth="true" hidden="false" outlineLevel="0" max="1796" min="1796" style="2" width="7.82"/>
    <col collapsed="false" customWidth="true" hidden="false" outlineLevel="0" max="1797" min="1797" style="2" width="22"/>
    <col collapsed="false" customWidth="true" hidden="false" outlineLevel="0" max="1798" min="1798" style="2" width="14.54"/>
    <col collapsed="false" customWidth="false" hidden="false" outlineLevel="0" max="2044" min="1799" style="2" width="8.82"/>
    <col collapsed="false" customWidth="true" hidden="false" outlineLevel="0" max="2045" min="2045" style="2" width="18.54"/>
    <col collapsed="false" customWidth="true" hidden="false" outlineLevel="0" max="2046" min="2046" style="2" width="50.82"/>
    <col collapsed="false" customWidth="true" hidden="false" outlineLevel="0" max="2047" min="2047" style="2" width="9.45"/>
    <col collapsed="false" customWidth="true" hidden="false" outlineLevel="0" max="2048" min="2048" style="2" width="11.18"/>
    <col collapsed="false" customWidth="true" hidden="false" outlineLevel="0" max="2049" min="2049" style="2" width="17.82"/>
    <col collapsed="false" customWidth="true" hidden="false" outlineLevel="0" max="2050" min="2050" style="2" width="22"/>
    <col collapsed="false" customWidth="true" hidden="false" outlineLevel="0" max="2051" min="2051" style="2" width="3.45"/>
    <col collapsed="false" customWidth="true" hidden="false" outlineLevel="0" max="2052" min="2052" style="2" width="7.82"/>
    <col collapsed="false" customWidth="true" hidden="false" outlineLevel="0" max="2053" min="2053" style="2" width="22"/>
    <col collapsed="false" customWidth="true" hidden="false" outlineLevel="0" max="2054" min="2054" style="2" width="14.54"/>
    <col collapsed="false" customWidth="false" hidden="false" outlineLevel="0" max="2300" min="2055" style="2" width="8.82"/>
    <col collapsed="false" customWidth="true" hidden="false" outlineLevel="0" max="2301" min="2301" style="2" width="18.54"/>
    <col collapsed="false" customWidth="true" hidden="false" outlineLevel="0" max="2302" min="2302" style="2" width="50.82"/>
    <col collapsed="false" customWidth="true" hidden="false" outlineLevel="0" max="2303" min="2303" style="2" width="9.45"/>
    <col collapsed="false" customWidth="true" hidden="false" outlineLevel="0" max="2304" min="2304" style="2" width="11.18"/>
    <col collapsed="false" customWidth="true" hidden="false" outlineLevel="0" max="2305" min="2305" style="2" width="17.82"/>
    <col collapsed="false" customWidth="true" hidden="false" outlineLevel="0" max="2306" min="2306" style="2" width="22"/>
    <col collapsed="false" customWidth="true" hidden="false" outlineLevel="0" max="2307" min="2307" style="2" width="3.45"/>
    <col collapsed="false" customWidth="true" hidden="false" outlineLevel="0" max="2308" min="2308" style="2" width="7.82"/>
    <col collapsed="false" customWidth="true" hidden="false" outlineLevel="0" max="2309" min="2309" style="2" width="22"/>
    <col collapsed="false" customWidth="true" hidden="false" outlineLevel="0" max="2310" min="2310" style="2" width="14.54"/>
    <col collapsed="false" customWidth="false" hidden="false" outlineLevel="0" max="2556" min="2311" style="2" width="8.82"/>
    <col collapsed="false" customWidth="true" hidden="false" outlineLevel="0" max="2557" min="2557" style="2" width="18.54"/>
    <col collapsed="false" customWidth="true" hidden="false" outlineLevel="0" max="2558" min="2558" style="2" width="50.82"/>
    <col collapsed="false" customWidth="true" hidden="false" outlineLevel="0" max="2559" min="2559" style="2" width="9.45"/>
    <col collapsed="false" customWidth="true" hidden="false" outlineLevel="0" max="2560" min="2560" style="2" width="11.18"/>
    <col collapsed="false" customWidth="true" hidden="false" outlineLevel="0" max="2561" min="2561" style="2" width="17.82"/>
    <col collapsed="false" customWidth="true" hidden="false" outlineLevel="0" max="2562" min="2562" style="2" width="22"/>
    <col collapsed="false" customWidth="true" hidden="false" outlineLevel="0" max="2563" min="2563" style="2" width="3.45"/>
    <col collapsed="false" customWidth="true" hidden="false" outlineLevel="0" max="2564" min="2564" style="2" width="7.82"/>
    <col collapsed="false" customWidth="true" hidden="false" outlineLevel="0" max="2565" min="2565" style="2" width="22"/>
    <col collapsed="false" customWidth="true" hidden="false" outlineLevel="0" max="2566" min="2566" style="2" width="14.54"/>
    <col collapsed="false" customWidth="false" hidden="false" outlineLevel="0" max="2812" min="2567" style="2" width="8.82"/>
    <col collapsed="false" customWidth="true" hidden="false" outlineLevel="0" max="2813" min="2813" style="2" width="18.54"/>
    <col collapsed="false" customWidth="true" hidden="false" outlineLevel="0" max="2814" min="2814" style="2" width="50.82"/>
    <col collapsed="false" customWidth="true" hidden="false" outlineLevel="0" max="2815" min="2815" style="2" width="9.45"/>
    <col collapsed="false" customWidth="true" hidden="false" outlineLevel="0" max="2816" min="2816" style="2" width="11.18"/>
    <col collapsed="false" customWidth="true" hidden="false" outlineLevel="0" max="2817" min="2817" style="2" width="17.82"/>
    <col collapsed="false" customWidth="true" hidden="false" outlineLevel="0" max="2818" min="2818" style="2" width="22"/>
    <col collapsed="false" customWidth="true" hidden="false" outlineLevel="0" max="2819" min="2819" style="2" width="3.45"/>
    <col collapsed="false" customWidth="true" hidden="false" outlineLevel="0" max="2820" min="2820" style="2" width="7.82"/>
    <col collapsed="false" customWidth="true" hidden="false" outlineLevel="0" max="2821" min="2821" style="2" width="22"/>
    <col collapsed="false" customWidth="true" hidden="false" outlineLevel="0" max="2822" min="2822" style="2" width="14.54"/>
    <col collapsed="false" customWidth="false" hidden="false" outlineLevel="0" max="3068" min="2823" style="2" width="8.82"/>
    <col collapsed="false" customWidth="true" hidden="false" outlineLevel="0" max="3069" min="3069" style="2" width="18.54"/>
    <col collapsed="false" customWidth="true" hidden="false" outlineLevel="0" max="3070" min="3070" style="2" width="50.82"/>
    <col collapsed="false" customWidth="true" hidden="false" outlineLevel="0" max="3071" min="3071" style="2" width="9.45"/>
    <col collapsed="false" customWidth="true" hidden="false" outlineLevel="0" max="3072" min="3072" style="2" width="11.18"/>
    <col collapsed="false" customWidth="true" hidden="false" outlineLevel="0" max="3073" min="3073" style="2" width="17.82"/>
    <col collapsed="false" customWidth="true" hidden="false" outlineLevel="0" max="3074" min="3074" style="2" width="22"/>
    <col collapsed="false" customWidth="true" hidden="false" outlineLevel="0" max="3075" min="3075" style="2" width="3.45"/>
    <col collapsed="false" customWidth="true" hidden="false" outlineLevel="0" max="3076" min="3076" style="2" width="7.82"/>
    <col collapsed="false" customWidth="true" hidden="false" outlineLevel="0" max="3077" min="3077" style="2" width="22"/>
    <col collapsed="false" customWidth="true" hidden="false" outlineLevel="0" max="3078" min="3078" style="2" width="14.54"/>
    <col collapsed="false" customWidth="false" hidden="false" outlineLevel="0" max="3324" min="3079" style="2" width="8.82"/>
    <col collapsed="false" customWidth="true" hidden="false" outlineLevel="0" max="3325" min="3325" style="2" width="18.54"/>
    <col collapsed="false" customWidth="true" hidden="false" outlineLevel="0" max="3326" min="3326" style="2" width="50.82"/>
    <col collapsed="false" customWidth="true" hidden="false" outlineLevel="0" max="3327" min="3327" style="2" width="9.45"/>
    <col collapsed="false" customWidth="true" hidden="false" outlineLevel="0" max="3328" min="3328" style="2" width="11.18"/>
    <col collapsed="false" customWidth="true" hidden="false" outlineLevel="0" max="3329" min="3329" style="2" width="17.82"/>
    <col collapsed="false" customWidth="true" hidden="false" outlineLevel="0" max="3330" min="3330" style="2" width="22"/>
    <col collapsed="false" customWidth="true" hidden="false" outlineLevel="0" max="3331" min="3331" style="2" width="3.45"/>
    <col collapsed="false" customWidth="true" hidden="false" outlineLevel="0" max="3332" min="3332" style="2" width="7.82"/>
    <col collapsed="false" customWidth="true" hidden="false" outlineLevel="0" max="3333" min="3333" style="2" width="22"/>
    <col collapsed="false" customWidth="true" hidden="false" outlineLevel="0" max="3334" min="3334" style="2" width="14.54"/>
    <col collapsed="false" customWidth="false" hidden="false" outlineLevel="0" max="3580" min="3335" style="2" width="8.82"/>
    <col collapsed="false" customWidth="true" hidden="false" outlineLevel="0" max="3581" min="3581" style="2" width="18.54"/>
    <col collapsed="false" customWidth="true" hidden="false" outlineLevel="0" max="3582" min="3582" style="2" width="50.82"/>
    <col collapsed="false" customWidth="true" hidden="false" outlineLevel="0" max="3583" min="3583" style="2" width="9.45"/>
    <col collapsed="false" customWidth="true" hidden="false" outlineLevel="0" max="3584" min="3584" style="2" width="11.18"/>
    <col collapsed="false" customWidth="true" hidden="false" outlineLevel="0" max="3585" min="3585" style="2" width="17.82"/>
    <col collapsed="false" customWidth="true" hidden="false" outlineLevel="0" max="3586" min="3586" style="2" width="22"/>
    <col collapsed="false" customWidth="true" hidden="false" outlineLevel="0" max="3587" min="3587" style="2" width="3.45"/>
    <col collapsed="false" customWidth="true" hidden="false" outlineLevel="0" max="3588" min="3588" style="2" width="7.82"/>
    <col collapsed="false" customWidth="true" hidden="false" outlineLevel="0" max="3589" min="3589" style="2" width="22"/>
    <col collapsed="false" customWidth="true" hidden="false" outlineLevel="0" max="3590" min="3590" style="2" width="14.54"/>
    <col collapsed="false" customWidth="false" hidden="false" outlineLevel="0" max="3836" min="3591" style="2" width="8.82"/>
    <col collapsed="false" customWidth="true" hidden="false" outlineLevel="0" max="3837" min="3837" style="2" width="18.54"/>
    <col collapsed="false" customWidth="true" hidden="false" outlineLevel="0" max="3838" min="3838" style="2" width="50.82"/>
    <col collapsed="false" customWidth="true" hidden="false" outlineLevel="0" max="3839" min="3839" style="2" width="9.45"/>
    <col collapsed="false" customWidth="true" hidden="false" outlineLevel="0" max="3840" min="3840" style="2" width="11.18"/>
    <col collapsed="false" customWidth="true" hidden="false" outlineLevel="0" max="3841" min="3841" style="2" width="17.82"/>
    <col collapsed="false" customWidth="true" hidden="false" outlineLevel="0" max="3842" min="3842" style="2" width="22"/>
    <col collapsed="false" customWidth="true" hidden="false" outlineLevel="0" max="3843" min="3843" style="2" width="3.45"/>
    <col collapsed="false" customWidth="true" hidden="false" outlineLevel="0" max="3844" min="3844" style="2" width="7.82"/>
    <col collapsed="false" customWidth="true" hidden="false" outlineLevel="0" max="3845" min="3845" style="2" width="22"/>
    <col collapsed="false" customWidth="true" hidden="false" outlineLevel="0" max="3846" min="3846" style="2" width="14.54"/>
    <col collapsed="false" customWidth="false" hidden="false" outlineLevel="0" max="4092" min="3847" style="2" width="8.82"/>
    <col collapsed="false" customWidth="true" hidden="false" outlineLevel="0" max="4093" min="4093" style="2" width="18.54"/>
    <col collapsed="false" customWidth="true" hidden="false" outlineLevel="0" max="4094" min="4094" style="2" width="50.82"/>
    <col collapsed="false" customWidth="true" hidden="false" outlineLevel="0" max="4095" min="4095" style="2" width="9.45"/>
    <col collapsed="false" customWidth="true" hidden="false" outlineLevel="0" max="4096" min="4096" style="2" width="11.18"/>
    <col collapsed="false" customWidth="true" hidden="false" outlineLevel="0" max="4097" min="4097" style="2" width="17.82"/>
    <col collapsed="false" customWidth="true" hidden="false" outlineLevel="0" max="4098" min="4098" style="2" width="22"/>
    <col collapsed="false" customWidth="true" hidden="false" outlineLevel="0" max="4099" min="4099" style="2" width="3.45"/>
    <col collapsed="false" customWidth="true" hidden="false" outlineLevel="0" max="4100" min="4100" style="2" width="7.82"/>
    <col collapsed="false" customWidth="true" hidden="false" outlineLevel="0" max="4101" min="4101" style="2" width="22"/>
    <col collapsed="false" customWidth="true" hidden="false" outlineLevel="0" max="4102" min="4102" style="2" width="14.54"/>
    <col collapsed="false" customWidth="false" hidden="false" outlineLevel="0" max="4348" min="4103" style="2" width="8.82"/>
    <col collapsed="false" customWidth="true" hidden="false" outlineLevel="0" max="4349" min="4349" style="2" width="18.54"/>
    <col collapsed="false" customWidth="true" hidden="false" outlineLevel="0" max="4350" min="4350" style="2" width="50.82"/>
    <col collapsed="false" customWidth="true" hidden="false" outlineLevel="0" max="4351" min="4351" style="2" width="9.45"/>
    <col collapsed="false" customWidth="true" hidden="false" outlineLevel="0" max="4352" min="4352" style="2" width="11.18"/>
    <col collapsed="false" customWidth="true" hidden="false" outlineLevel="0" max="4353" min="4353" style="2" width="17.82"/>
    <col collapsed="false" customWidth="true" hidden="false" outlineLevel="0" max="4354" min="4354" style="2" width="22"/>
    <col collapsed="false" customWidth="true" hidden="false" outlineLevel="0" max="4355" min="4355" style="2" width="3.45"/>
    <col collapsed="false" customWidth="true" hidden="false" outlineLevel="0" max="4356" min="4356" style="2" width="7.82"/>
    <col collapsed="false" customWidth="true" hidden="false" outlineLevel="0" max="4357" min="4357" style="2" width="22"/>
    <col collapsed="false" customWidth="true" hidden="false" outlineLevel="0" max="4358" min="4358" style="2" width="14.54"/>
    <col collapsed="false" customWidth="false" hidden="false" outlineLevel="0" max="4604" min="4359" style="2" width="8.82"/>
    <col collapsed="false" customWidth="true" hidden="false" outlineLevel="0" max="4605" min="4605" style="2" width="18.54"/>
    <col collapsed="false" customWidth="true" hidden="false" outlineLevel="0" max="4606" min="4606" style="2" width="50.82"/>
    <col collapsed="false" customWidth="true" hidden="false" outlineLevel="0" max="4607" min="4607" style="2" width="9.45"/>
    <col collapsed="false" customWidth="true" hidden="false" outlineLevel="0" max="4608" min="4608" style="2" width="11.18"/>
    <col collapsed="false" customWidth="true" hidden="false" outlineLevel="0" max="4609" min="4609" style="2" width="17.82"/>
    <col collapsed="false" customWidth="true" hidden="false" outlineLevel="0" max="4610" min="4610" style="2" width="22"/>
    <col collapsed="false" customWidth="true" hidden="false" outlineLevel="0" max="4611" min="4611" style="2" width="3.45"/>
    <col collapsed="false" customWidth="true" hidden="false" outlineLevel="0" max="4612" min="4612" style="2" width="7.82"/>
    <col collapsed="false" customWidth="true" hidden="false" outlineLevel="0" max="4613" min="4613" style="2" width="22"/>
    <col collapsed="false" customWidth="true" hidden="false" outlineLevel="0" max="4614" min="4614" style="2" width="14.54"/>
    <col collapsed="false" customWidth="false" hidden="false" outlineLevel="0" max="4860" min="4615" style="2" width="8.82"/>
    <col collapsed="false" customWidth="true" hidden="false" outlineLevel="0" max="4861" min="4861" style="2" width="18.54"/>
    <col collapsed="false" customWidth="true" hidden="false" outlineLevel="0" max="4862" min="4862" style="2" width="50.82"/>
    <col collapsed="false" customWidth="true" hidden="false" outlineLevel="0" max="4863" min="4863" style="2" width="9.45"/>
    <col collapsed="false" customWidth="true" hidden="false" outlineLevel="0" max="4864" min="4864" style="2" width="11.18"/>
    <col collapsed="false" customWidth="true" hidden="false" outlineLevel="0" max="4865" min="4865" style="2" width="17.82"/>
    <col collapsed="false" customWidth="true" hidden="false" outlineLevel="0" max="4866" min="4866" style="2" width="22"/>
    <col collapsed="false" customWidth="true" hidden="false" outlineLevel="0" max="4867" min="4867" style="2" width="3.45"/>
    <col collapsed="false" customWidth="true" hidden="false" outlineLevel="0" max="4868" min="4868" style="2" width="7.82"/>
    <col collapsed="false" customWidth="true" hidden="false" outlineLevel="0" max="4869" min="4869" style="2" width="22"/>
    <col collapsed="false" customWidth="true" hidden="false" outlineLevel="0" max="4870" min="4870" style="2" width="14.54"/>
    <col collapsed="false" customWidth="false" hidden="false" outlineLevel="0" max="5116" min="4871" style="2" width="8.82"/>
    <col collapsed="false" customWidth="true" hidden="false" outlineLevel="0" max="5117" min="5117" style="2" width="18.54"/>
    <col collapsed="false" customWidth="true" hidden="false" outlineLevel="0" max="5118" min="5118" style="2" width="50.82"/>
    <col collapsed="false" customWidth="true" hidden="false" outlineLevel="0" max="5119" min="5119" style="2" width="9.45"/>
    <col collapsed="false" customWidth="true" hidden="false" outlineLevel="0" max="5120" min="5120" style="2" width="11.18"/>
    <col collapsed="false" customWidth="true" hidden="false" outlineLevel="0" max="5121" min="5121" style="2" width="17.82"/>
    <col collapsed="false" customWidth="true" hidden="false" outlineLevel="0" max="5122" min="5122" style="2" width="22"/>
    <col collapsed="false" customWidth="true" hidden="false" outlineLevel="0" max="5123" min="5123" style="2" width="3.45"/>
    <col collapsed="false" customWidth="true" hidden="false" outlineLevel="0" max="5124" min="5124" style="2" width="7.82"/>
    <col collapsed="false" customWidth="true" hidden="false" outlineLevel="0" max="5125" min="5125" style="2" width="22"/>
    <col collapsed="false" customWidth="true" hidden="false" outlineLevel="0" max="5126" min="5126" style="2" width="14.54"/>
    <col collapsed="false" customWidth="false" hidden="false" outlineLevel="0" max="5372" min="5127" style="2" width="8.82"/>
    <col collapsed="false" customWidth="true" hidden="false" outlineLevel="0" max="5373" min="5373" style="2" width="18.54"/>
    <col collapsed="false" customWidth="true" hidden="false" outlineLevel="0" max="5374" min="5374" style="2" width="50.82"/>
    <col collapsed="false" customWidth="true" hidden="false" outlineLevel="0" max="5375" min="5375" style="2" width="9.45"/>
    <col collapsed="false" customWidth="true" hidden="false" outlineLevel="0" max="5376" min="5376" style="2" width="11.18"/>
    <col collapsed="false" customWidth="true" hidden="false" outlineLevel="0" max="5377" min="5377" style="2" width="17.82"/>
    <col collapsed="false" customWidth="true" hidden="false" outlineLevel="0" max="5378" min="5378" style="2" width="22"/>
    <col collapsed="false" customWidth="true" hidden="false" outlineLevel="0" max="5379" min="5379" style="2" width="3.45"/>
    <col collapsed="false" customWidth="true" hidden="false" outlineLevel="0" max="5380" min="5380" style="2" width="7.82"/>
    <col collapsed="false" customWidth="true" hidden="false" outlineLevel="0" max="5381" min="5381" style="2" width="22"/>
    <col collapsed="false" customWidth="true" hidden="false" outlineLevel="0" max="5382" min="5382" style="2" width="14.54"/>
    <col collapsed="false" customWidth="false" hidden="false" outlineLevel="0" max="5628" min="5383" style="2" width="8.82"/>
    <col collapsed="false" customWidth="true" hidden="false" outlineLevel="0" max="5629" min="5629" style="2" width="18.54"/>
    <col collapsed="false" customWidth="true" hidden="false" outlineLevel="0" max="5630" min="5630" style="2" width="50.82"/>
    <col collapsed="false" customWidth="true" hidden="false" outlineLevel="0" max="5631" min="5631" style="2" width="9.45"/>
    <col collapsed="false" customWidth="true" hidden="false" outlineLevel="0" max="5632" min="5632" style="2" width="11.18"/>
    <col collapsed="false" customWidth="true" hidden="false" outlineLevel="0" max="5633" min="5633" style="2" width="17.82"/>
    <col collapsed="false" customWidth="true" hidden="false" outlineLevel="0" max="5634" min="5634" style="2" width="22"/>
    <col collapsed="false" customWidth="true" hidden="false" outlineLevel="0" max="5635" min="5635" style="2" width="3.45"/>
    <col collapsed="false" customWidth="true" hidden="false" outlineLevel="0" max="5636" min="5636" style="2" width="7.82"/>
    <col collapsed="false" customWidth="true" hidden="false" outlineLevel="0" max="5637" min="5637" style="2" width="22"/>
    <col collapsed="false" customWidth="true" hidden="false" outlineLevel="0" max="5638" min="5638" style="2" width="14.54"/>
    <col collapsed="false" customWidth="false" hidden="false" outlineLevel="0" max="5884" min="5639" style="2" width="8.82"/>
    <col collapsed="false" customWidth="true" hidden="false" outlineLevel="0" max="5885" min="5885" style="2" width="18.54"/>
    <col collapsed="false" customWidth="true" hidden="false" outlineLevel="0" max="5886" min="5886" style="2" width="50.82"/>
    <col collapsed="false" customWidth="true" hidden="false" outlineLevel="0" max="5887" min="5887" style="2" width="9.45"/>
    <col collapsed="false" customWidth="true" hidden="false" outlineLevel="0" max="5888" min="5888" style="2" width="11.18"/>
    <col collapsed="false" customWidth="true" hidden="false" outlineLevel="0" max="5889" min="5889" style="2" width="17.82"/>
    <col collapsed="false" customWidth="true" hidden="false" outlineLevel="0" max="5890" min="5890" style="2" width="22"/>
    <col collapsed="false" customWidth="true" hidden="false" outlineLevel="0" max="5891" min="5891" style="2" width="3.45"/>
    <col collapsed="false" customWidth="true" hidden="false" outlineLevel="0" max="5892" min="5892" style="2" width="7.82"/>
    <col collapsed="false" customWidth="true" hidden="false" outlineLevel="0" max="5893" min="5893" style="2" width="22"/>
    <col collapsed="false" customWidth="true" hidden="false" outlineLevel="0" max="5894" min="5894" style="2" width="14.54"/>
    <col collapsed="false" customWidth="false" hidden="false" outlineLevel="0" max="6140" min="5895" style="2" width="8.82"/>
    <col collapsed="false" customWidth="true" hidden="false" outlineLevel="0" max="6141" min="6141" style="2" width="18.54"/>
    <col collapsed="false" customWidth="true" hidden="false" outlineLevel="0" max="6142" min="6142" style="2" width="50.82"/>
    <col collapsed="false" customWidth="true" hidden="false" outlineLevel="0" max="6143" min="6143" style="2" width="9.45"/>
    <col collapsed="false" customWidth="true" hidden="false" outlineLevel="0" max="6144" min="6144" style="2" width="11.18"/>
    <col collapsed="false" customWidth="true" hidden="false" outlineLevel="0" max="6145" min="6145" style="2" width="17.82"/>
    <col collapsed="false" customWidth="true" hidden="false" outlineLevel="0" max="6146" min="6146" style="2" width="22"/>
    <col collapsed="false" customWidth="true" hidden="false" outlineLevel="0" max="6147" min="6147" style="2" width="3.45"/>
    <col collapsed="false" customWidth="true" hidden="false" outlineLevel="0" max="6148" min="6148" style="2" width="7.82"/>
    <col collapsed="false" customWidth="true" hidden="false" outlineLevel="0" max="6149" min="6149" style="2" width="22"/>
    <col collapsed="false" customWidth="true" hidden="false" outlineLevel="0" max="6150" min="6150" style="2" width="14.54"/>
    <col collapsed="false" customWidth="false" hidden="false" outlineLevel="0" max="6396" min="6151" style="2" width="8.82"/>
    <col collapsed="false" customWidth="true" hidden="false" outlineLevel="0" max="6397" min="6397" style="2" width="18.54"/>
    <col collapsed="false" customWidth="true" hidden="false" outlineLevel="0" max="6398" min="6398" style="2" width="50.82"/>
    <col collapsed="false" customWidth="true" hidden="false" outlineLevel="0" max="6399" min="6399" style="2" width="9.45"/>
    <col collapsed="false" customWidth="true" hidden="false" outlineLevel="0" max="6400" min="6400" style="2" width="11.18"/>
    <col collapsed="false" customWidth="true" hidden="false" outlineLevel="0" max="6401" min="6401" style="2" width="17.82"/>
    <col collapsed="false" customWidth="true" hidden="false" outlineLevel="0" max="6402" min="6402" style="2" width="22"/>
    <col collapsed="false" customWidth="true" hidden="false" outlineLevel="0" max="6403" min="6403" style="2" width="3.45"/>
    <col collapsed="false" customWidth="true" hidden="false" outlineLevel="0" max="6404" min="6404" style="2" width="7.82"/>
    <col collapsed="false" customWidth="true" hidden="false" outlineLevel="0" max="6405" min="6405" style="2" width="22"/>
    <col collapsed="false" customWidth="true" hidden="false" outlineLevel="0" max="6406" min="6406" style="2" width="14.54"/>
    <col collapsed="false" customWidth="false" hidden="false" outlineLevel="0" max="6652" min="6407" style="2" width="8.82"/>
    <col collapsed="false" customWidth="true" hidden="false" outlineLevel="0" max="6653" min="6653" style="2" width="18.54"/>
    <col collapsed="false" customWidth="true" hidden="false" outlineLevel="0" max="6654" min="6654" style="2" width="50.82"/>
    <col collapsed="false" customWidth="true" hidden="false" outlineLevel="0" max="6655" min="6655" style="2" width="9.45"/>
    <col collapsed="false" customWidth="true" hidden="false" outlineLevel="0" max="6656" min="6656" style="2" width="11.18"/>
    <col collapsed="false" customWidth="true" hidden="false" outlineLevel="0" max="6657" min="6657" style="2" width="17.82"/>
    <col collapsed="false" customWidth="true" hidden="false" outlineLevel="0" max="6658" min="6658" style="2" width="22"/>
    <col collapsed="false" customWidth="true" hidden="false" outlineLevel="0" max="6659" min="6659" style="2" width="3.45"/>
    <col collapsed="false" customWidth="true" hidden="false" outlineLevel="0" max="6660" min="6660" style="2" width="7.82"/>
    <col collapsed="false" customWidth="true" hidden="false" outlineLevel="0" max="6661" min="6661" style="2" width="22"/>
    <col collapsed="false" customWidth="true" hidden="false" outlineLevel="0" max="6662" min="6662" style="2" width="14.54"/>
    <col collapsed="false" customWidth="false" hidden="false" outlineLevel="0" max="6908" min="6663" style="2" width="8.82"/>
    <col collapsed="false" customWidth="true" hidden="false" outlineLevel="0" max="6909" min="6909" style="2" width="18.54"/>
    <col collapsed="false" customWidth="true" hidden="false" outlineLevel="0" max="6910" min="6910" style="2" width="50.82"/>
    <col collapsed="false" customWidth="true" hidden="false" outlineLevel="0" max="6911" min="6911" style="2" width="9.45"/>
    <col collapsed="false" customWidth="true" hidden="false" outlineLevel="0" max="6912" min="6912" style="2" width="11.18"/>
    <col collapsed="false" customWidth="true" hidden="false" outlineLevel="0" max="6913" min="6913" style="2" width="17.82"/>
    <col collapsed="false" customWidth="true" hidden="false" outlineLevel="0" max="6914" min="6914" style="2" width="22"/>
    <col collapsed="false" customWidth="true" hidden="false" outlineLevel="0" max="6915" min="6915" style="2" width="3.45"/>
    <col collapsed="false" customWidth="true" hidden="false" outlineLevel="0" max="6916" min="6916" style="2" width="7.82"/>
    <col collapsed="false" customWidth="true" hidden="false" outlineLevel="0" max="6917" min="6917" style="2" width="22"/>
    <col collapsed="false" customWidth="true" hidden="false" outlineLevel="0" max="6918" min="6918" style="2" width="14.54"/>
    <col collapsed="false" customWidth="false" hidden="false" outlineLevel="0" max="7164" min="6919" style="2" width="8.82"/>
    <col collapsed="false" customWidth="true" hidden="false" outlineLevel="0" max="7165" min="7165" style="2" width="18.54"/>
    <col collapsed="false" customWidth="true" hidden="false" outlineLevel="0" max="7166" min="7166" style="2" width="50.82"/>
    <col collapsed="false" customWidth="true" hidden="false" outlineLevel="0" max="7167" min="7167" style="2" width="9.45"/>
    <col collapsed="false" customWidth="true" hidden="false" outlineLevel="0" max="7168" min="7168" style="2" width="11.18"/>
    <col collapsed="false" customWidth="true" hidden="false" outlineLevel="0" max="7169" min="7169" style="2" width="17.82"/>
    <col collapsed="false" customWidth="true" hidden="false" outlineLevel="0" max="7170" min="7170" style="2" width="22"/>
    <col collapsed="false" customWidth="true" hidden="false" outlineLevel="0" max="7171" min="7171" style="2" width="3.45"/>
    <col collapsed="false" customWidth="true" hidden="false" outlineLevel="0" max="7172" min="7172" style="2" width="7.82"/>
    <col collapsed="false" customWidth="true" hidden="false" outlineLevel="0" max="7173" min="7173" style="2" width="22"/>
    <col collapsed="false" customWidth="true" hidden="false" outlineLevel="0" max="7174" min="7174" style="2" width="14.54"/>
    <col collapsed="false" customWidth="false" hidden="false" outlineLevel="0" max="7420" min="7175" style="2" width="8.82"/>
    <col collapsed="false" customWidth="true" hidden="false" outlineLevel="0" max="7421" min="7421" style="2" width="18.54"/>
    <col collapsed="false" customWidth="true" hidden="false" outlineLevel="0" max="7422" min="7422" style="2" width="50.82"/>
    <col collapsed="false" customWidth="true" hidden="false" outlineLevel="0" max="7423" min="7423" style="2" width="9.45"/>
    <col collapsed="false" customWidth="true" hidden="false" outlineLevel="0" max="7424" min="7424" style="2" width="11.18"/>
    <col collapsed="false" customWidth="true" hidden="false" outlineLevel="0" max="7425" min="7425" style="2" width="17.82"/>
    <col collapsed="false" customWidth="true" hidden="false" outlineLevel="0" max="7426" min="7426" style="2" width="22"/>
    <col collapsed="false" customWidth="true" hidden="false" outlineLevel="0" max="7427" min="7427" style="2" width="3.45"/>
    <col collapsed="false" customWidth="true" hidden="false" outlineLevel="0" max="7428" min="7428" style="2" width="7.82"/>
    <col collapsed="false" customWidth="true" hidden="false" outlineLevel="0" max="7429" min="7429" style="2" width="22"/>
    <col collapsed="false" customWidth="true" hidden="false" outlineLevel="0" max="7430" min="7430" style="2" width="14.54"/>
    <col collapsed="false" customWidth="false" hidden="false" outlineLevel="0" max="7676" min="7431" style="2" width="8.82"/>
    <col collapsed="false" customWidth="true" hidden="false" outlineLevel="0" max="7677" min="7677" style="2" width="18.54"/>
    <col collapsed="false" customWidth="true" hidden="false" outlineLevel="0" max="7678" min="7678" style="2" width="50.82"/>
    <col collapsed="false" customWidth="true" hidden="false" outlineLevel="0" max="7679" min="7679" style="2" width="9.45"/>
    <col collapsed="false" customWidth="true" hidden="false" outlineLevel="0" max="7680" min="7680" style="2" width="11.18"/>
    <col collapsed="false" customWidth="true" hidden="false" outlineLevel="0" max="7681" min="7681" style="2" width="17.82"/>
    <col collapsed="false" customWidth="true" hidden="false" outlineLevel="0" max="7682" min="7682" style="2" width="22"/>
    <col collapsed="false" customWidth="true" hidden="false" outlineLevel="0" max="7683" min="7683" style="2" width="3.45"/>
    <col collapsed="false" customWidth="true" hidden="false" outlineLevel="0" max="7684" min="7684" style="2" width="7.82"/>
    <col collapsed="false" customWidth="true" hidden="false" outlineLevel="0" max="7685" min="7685" style="2" width="22"/>
    <col collapsed="false" customWidth="true" hidden="false" outlineLevel="0" max="7686" min="7686" style="2" width="14.54"/>
    <col collapsed="false" customWidth="false" hidden="false" outlineLevel="0" max="7932" min="7687" style="2" width="8.82"/>
    <col collapsed="false" customWidth="true" hidden="false" outlineLevel="0" max="7933" min="7933" style="2" width="18.54"/>
    <col collapsed="false" customWidth="true" hidden="false" outlineLevel="0" max="7934" min="7934" style="2" width="50.82"/>
    <col collapsed="false" customWidth="true" hidden="false" outlineLevel="0" max="7935" min="7935" style="2" width="9.45"/>
    <col collapsed="false" customWidth="true" hidden="false" outlineLevel="0" max="7936" min="7936" style="2" width="11.18"/>
    <col collapsed="false" customWidth="true" hidden="false" outlineLevel="0" max="7937" min="7937" style="2" width="17.82"/>
    <col collapsed="false" customWidth="true" hidden="false" outlineLevel="0" max="7938" min="7938" style="2" width="22"/>
    <col collapsed="false" customWidth="true" hidden="false" outlineLevel="0" max="7939" min="7939" style="2" width="3.45"/>
    <col collapsed="false" customWidth="true" hidden="false" outlineLevel="0" max="7940" min="7940" style="2" width="7.82"/>
    <col collapsed="false" customWidth="true" hidden="false" outlineLevel="0" max="7941" min="7941" style="2" width="22"/>
    <col collapsed="false" customWidth="true" hidden="false" outlineLevel="0" max="7942" min="7942" style="2" width="14.54"/>
    <col collapsed="false" customWidth="false" hidden="false" outlineLevel="0" max="8188" min="7943" style="2" width="8.82"/>
    <col collapsed="false" customWidth="true" hidden="false" outlineLevel="0" max="8189" min="8189" style="2" width="18.54"/>
    <col collapsed="false" customWidth="true" hidden="false" outlineLevel="0" max="8190" min="8190" style="2" width="50.82"/>
    <col collapsed="false" customWidth="true" hidden="false" outlineLevel="0" max="8191" min="8191" style="2" width="9.45"/>
    <col collapsed="false" customWidth="true" hidden="false" outlineLevel="0" max="8192" min="8192" style="2" width="11.18"/>
    <col collapsed="false" customWidth="true" hidden="false" outlineLevel="0" max="8193" min="8193" style="2" width="17.82"/>
    <col collapsed="false" customWidth="true" hidden="false" outlineLevel="0" max="8194" min="8194" style="2" width="22"/>
    <col collapsed="false" customWidth="true" hidden="false" outlineLevel="0" max="8195" min="8195" style="2" width="3.45"/>
    <col collapsed="false" customWidth="true" hidden="false" outlineLevel="0" max="8196" min="8196" style="2" width="7.82"/>
    <col collapsed="false" customWidth="true" hidden="false" outlineLevel="0" max="8197" min="8197" style="2" width="22"/>
    <col collapsed="false" customWidth="true" hidden="false" outlineLevel="0" max="8198" min="8198" style="2" width="14.54"/>
    <col collapsed="false" customWidth="false" hidden="false" outlineLevel="0" max="8444" min="8199" style="2" width="8.82"/>
    <col collapsed="false" customWidth="true" hidden="false" outlineLevel="0" max="8445" min="8445" style="2" width="18.54"/>
    <col collapsed="false" customWidth="true" hidden="false" outlineLevel="0" max="8446" min="8446" style="2" width="50.82"/>
    <col collapsed="false" customWidth="true" hidden="false" outlineLevel="0" max="8447" min="8447" style="2" width="9.45"/>
    <col collapsed="false" customWidth="true" hidden="false" outlineLevel="0" max="8448" min="8448" style="2" width="11.18"/>
    <col collapsed="false" customWidth="true" hidden="false" outlineLevel="0" max="8449" min="8449" style="2" width="17.82"/>
    <col collapsed="false" customWidth="true" hidden="false" outlineLevel="0" max="8450" min="8450" style="2" width="22"/>
    <col collapsed="false" customWidth="true" hidden="false" outlineLevel="0" max="8451" min="8451" style="2" width="3.45"/>
    <col collapsed="false" customWidth="true" hidden="false" outlineLevel="0" max="8452" min="8452" style="2" width="7.82"/>
    <col collapsed="false" customWidth="true" hidden="false" outlineLevel="0" max="8453" min="8453" style="2" width="22"/>
    <col collapsed="false" customWidth="true" hidden="false" outlineLevel="0" max="8454" min="8454" style="2" width="14.54"/>
    <col collapsed="false" customWidth="false" hidden="false" outlineLevel="0" max="8700" min="8455" style="2" width="8.82"/>
    <col collapsed="false" customWidth="true" hidden="false" outlineLevel="0" max="8701" min="8701" style="2" width="18.54"/>
    <col collapsed="false" customWidth="true" hidden="false" outlineLevel="0" max="8702" min="8702" style="2" width="50.82"/>
    <col collapsed="false" customWidth="true" hidden="false" outlineLevel="0" max="8703" min="8703" style="2" width="9.45"/>
    <col collapsed="false" customWidth="true" hidden="false" outlineLevel="0" max="8704" min="8704" style="2" width="11.18"/>
    <col collapsed="false" customWidth="true" hidden="false" outlineLevel="0" max="8705" min="8705" style="2" width="17.82"/>
    <col collapsed="false" customWidth="true" hidden="false" outlineLevel="0" max="8706" min="8706" style="2" width="22"/>
    <col collapsed="false" customWidth="true" hidden="false" outlineLevel="0" max="8707" min="8707" style="2" width="3.45"/>
    <col collapsed="false" customWidth="true" hidden="false" outlineLevel="0" max="8708" min="8708" style="2" width="7.82"/>
    <col collapsed="false" customWidth="true" hidden="false" outlineLevel="0" max="8709" min="8709" style="2" width="22"/>
    <col collapsed="false" customWidth="true" hidden="false" outlineLevel="0" max="8710" min="8710" style="2" width="14.54"/>
    <col collapsed="false" customWidth="false" hidden="false" outlineLevel="0" max="8956" min="8711" style="2" width="8.82"/>
    <col collapsed="false" customWidth="true" hidden="false" outlineLevel="0" max="8957" min="8957" style="2" width="18.54"/>
    <col collapsed="false" customWidth="true" hidden="false" outlineLevel="0" max="8958" min="8958" style="2" width="50.82"/>
    <col collapsed="false" customWidth="true" hidden="false" outlineLevel="0" max="8959" min="8959" style="2" width="9.45"/>
    <col collapsed="false" customWidth="true" hidden="false" outlineLevel="0" max="8960" min="8960" style="2" width="11.18"/>
    <col collapsed="false" customWidth="true" hidden="false" outlineLevel="0" max="8961" min="8961" style="2" width="17.82"/>
    <col collapsed="false" customWidth="true" hidden="false" outlineLevel="0" max="8962" min="8962" style="2" width="22"/>
    <col collapsed="false" customWidth="true" hidden="false" outlineLevel="0" max="8963" min="8963" style="2" width="3.45"/>
    <col collapsed="false" customWidth="true" hidden="false" outlineLevel="0" max="8964" min="8964" style="2" width="7.82"/>
    <col collapsed="false" customWidth="true" hidden="false" outlineLevel="0" max="8965" min="8965" style="2" width="22"/>
    <col collapsed="false" customWidth="true" hidden="false" outlineLevel="0" max="8966" min="8966" style="2" width="14.54"/>
    <col collapsed="false" customWidth="false" hidden="false" outlineLevel="0" max="9212" min="8967" style="2" width="8.82"/>
    <col collapsed="false" customWidth="true" hidden="false" outlineLevel="0" max="9213" min="9213" style="2" width="18.54"/>
    <col collapsed="false" customWidth="true" hidden="false" outlineLevel="0" max="9214" min="9214" style="2" width="50.82"/>
    <col collapsed="false" customWidth="true" hidden="false" outlineLevel="0" max="9215" min="9215" style="2" width="9.45"/>
    <col collapsed="false" customWidth="true" hidden="false" outlineLevel="0" max="9216" min="9216" style="2" width="11.18"/>
    <col collapsed="false" customWidth="true" hidden="false" outlineLevel="0" max="9217" min="9217" style="2" width="17.82"/>
    <col collapsed="false" customWidth="true" hidden="false" outlineLevel="0" max="9218" min="9218" style="2" width="22"/>
    <col collapsed="false" customWidth="true" hidden="false" outlineLevel="0" max="9219" min="9219" style="2" width="3.45"/>
    <col collapsed="false" customWidth="true" hidden="false" outlineLevel="0" max="9220" min="9220" style="2" width="7.82"/>
    <col collapsed="false" customWidth="true" hidden="false" outlineLevel="0" max="9221" min="9221" style="2" width="22"/>
    <col collapsed="false" customWidth="true" hidden="false" outlineLevel="0" max="9222" min="9222" style="2" width="14.54"/>
    <col collapsed="false" customWidth="false" hidden="false" outlineLevel="0" max="9468" min="9223" style="2" width="8.82"/>
    <col collapsed="false" customWidth="true" hidden="false" outlineLevel="0" max="9469" min="9469" style="2" width="18.54"/>
    <col collapsed="false" customWidth="true" hidden="false" outlineLevel="0" max="9470" min="9470" style="2" width="50.82"/>
    <col collapsed="false" customWidth="true" hidden="false" outlineLevel="0" max="9471" min="9471" style="2" width="9.45"/>
    <col collapsed="false" customWidth="true" hidden="false" outlineLevel="0" max="9472" min="9472" style="2" width="11.18"/>
    <col collapsed="false" customWidth="true" hidden="false" outlineLevel="0" max="9473" min="9473" style="2" width="17.82"/>
    <col collapsed="false" customWidth="true" hidden="false" outlineLevel="0" max="9474" min="9474" style="2" width="22"/>
    <col collapsed="false" customWidth="true" hidden="false" outlineLevel="0" max="9475" min="9475" style="2" width="3.45"/>
    <col collapsed="false" customWidth="true" hidden="false" outlineLevel="0" max="9476" min="9476" style="2" width="7.82"/>
    <col collapsed="false" customWidth="true" hidden="false" outlineLevel="0" max="9477" min="9477" style="2" width="22"/>
    <col collapsed="false" customWidth="true" hidden="false" outlineLevel="0" max="9478" min="9478" style="2" width="14.54"/>
    <col collapsed="false" customWidth="false" hidden="false" outlineLevel="0" max="9724" min="9479" style="2" width="8.82"/>
    <col collapsed="false" customWidth="true" hidden="false" outlineLevel="0" max="9725" min="9725" style="2" width="18.54"/>
    <col collapsed="false" customWidth="true" hidden="false" outlineLevel="0" max="9726" min="9726" style="2" width="50.82"/>
    <col collapsed="false" customWidth="true" hidden="false" outlineLevel="0" max="9727" min="9727" style="2" width="9.45"/>
    <col collapsed="false" customWidth="true" hidden="false" outlineLevel="0" max="9728" min="9728" style="2" width="11.18"/>
    <col collapsed="false" customWidth="true" hidden="false" outlineLevel="0" max="9729" min="9729" style="2" width="17.82"/>
    <col collapsed="false" customWidth="true" hidden="false" outlineLevel="0" max="9730" min="9730" style="2" width="22"/>
    <col collapsed="false" customWidth="true" hidden="false" outlineLevel="0" max="9731" min="9731" style="2" width="3.45"/>
    <col collapsed="false" customWidth="true" hidden="false" outlineLevel="0" max="9732" min="9732" style="2" width="7.82"/>
    <col collapsed="false" customWidth="true" hidden="false" outlineLevel="0" max="9733" min="9733" style="2" width="22"/>
    <col collapsed="false" customWidth="true" hidden="false" outlineLevel="0" max="9734" min="9734" style="2" width="14.54"/>
    <col collapsed="false" customWidth="false" hidden="false" outlineLevel="0" max="9980" min="9735" style="2" width="8.82"/>
    <col collapsed="false" customWidth="true" hidden="false" outlineLevel="0" max="9981" min="9981" style="2" width="18.54"/>
    <col collapsed="false" customWidth="true" hidden="false" outlineLevel="0" max="9982" min="9982" style="2" width="50.82"/>
    <col collapsed="false" customWidth="true" hidden="false" outlineLevel="0" max="9983" min="9983" style="2" width="9.45"/>
    <col collapsed="false" customWidth="true" hidden="false" outlineLevel="0" max="9984" min="9984" style="2" width="11.18"/>
    <col collapsed="false" customWidth="true" hidden="false" outlineLevel="0" max="9985" min="9985" style="2" width="17.82"/>
    <col collapsed="false" customWidth="true" hidden="false" outlineLevel="0" max="9986" min="9986" style="2" width="22"/>
    <col collapsed="false" customWidth="true" hidden="false" outlineLevel="0" max="9987" min="9987" style="2" width="3.45"/>
    <col collapsed="false" customWidth="true" hidden="false" outlineLevel="0" max="9988" min="9988" style="2" width="7.82"/>
    <col collapsed="false" customWidth="true" hidden="false" outlineLevel="0" max="9989" min="9989" style="2" width="22"/>
    <col collapsed="false" customWidth="true" hidden="false" outlineLevel="0" max="9990" min="9990" style="2" width="14.54"/>
    <col collapsed="false" customWidth="false" hidden="false" outlineLevel="0" max="10236" min="9991" style="2" width="8.82"/>
    <col collapsed="false" customWidth="true" hidden="false" outlineLevel="0" max="10237" min="10237" style="2" width="18.54"/>
    <col collapsed="false" customWidth="true" hidden="false" outlineLevel="0" max="10238" min="10238" style="2" width="50.82"/>
    <col collapsed="false" customWidth="true" hidden="false" outlineLevel="0" max="10239" min="10239" style="2" width="9.45"/>
    <col collapsed="false" customWidth="true" hidden="false" outlineLevel="0" max="10240" min="10240" style="2" width="11.18"/>
    <col collapsed="false" customWidth="true" hidden="false" outlineLevel="0" max="10241" min="10241" style="2" width="17.82"/>
    <col collapsed="false" customWidth="true" hidden="false" outlineLevel="0" max="10242" min="10242" style="2" width="22"/>
    <col collapsed="false" customWidth="true" hidden="false" outlineLevel="0" max="10243" min="10243" style="2" width="3.45"/>
    <col collapsed="false" customWidth="true" hidden="false" outlineLevel="0" max="10244" min="10244" style="2" width="7.82"/>
    <col collapsed="false" customWidth="true" hidden="false" outlineLevel="0" max="10245" min="10245" style="2" width="22"/>
    <col collapsed="false" customWidth="true" hidden="false" outlineLevel="0" max="10246" min="10246" style="2" width="14.54"/>
    <col collapsed="false" customWidth="false" hidden="false" outlineLevel="0" max="10492" min="10247" style="2" width="8.82"/>
    <col collapsed="false" customWidth="true" hidden="false" outlineLevel="0" max="10493" min="10493" style="2" width="18.54"/>
    <col collapsed="false" customWidth="true" hidden="false" outlineLevel="0" max="10494" min="10494" style="2" width="50.82"/>
    <col collapsed="false" customWidth="true" hidden="false" outlineLevel="0" max="10495" min="10495" style="2" width="9.45"/>
    <col collapsed="false" customWidth="true" hidden="false" outlineLevel="0" max="10496" min="10496" style="2" width="11.18"/>
    <col collapsed="false" customWidth="true" hidden="false" outlineLevel="0" max="10497" min="10497" style="2" width="17.82"/>
    <col collapsed="false" customWidth="true" hidden="false" outlineLevel="0" max="10498" min="10498" style="2" width="22"/>
    <col collapsed="false" customWidth="true" hidden="false" outlineLevel="0" max="10499" min="10499" style="2" width="3.45"/>
    <col collapsed="false" customWidth="true" hidden="false" outlineLevel="0" max="10500" min="10500" style="2" width="7.82"/>
    <col collapsed="false" customWidth="true" hidden="false" outlineLevel="0" max="10501" min="10501" style="2" width="22"/>
    <col collapsed="false" customWidth="true" hidden="false" outlineLevel="0" max="10502" min="10502" style="2" width="14.54"/>
    <col collapsed="false" customWidth="false" hidden="false" outlineLevel="0" max="10748" min="10503" style="2" width="8.82"/>
    <col collapsed="false" customWidth="true" hidden="false" outlineLevel="0" max="10749" min="10749" style="2" width="18.54"/>
    <col collapsed="false" customWidth="true" hidden="false" outlineLevel="0" max="10750" min="10750" style="2" width="50.82"/>
    <col collapsed="false" customWidth="true" hidden="false" outlineLevel="0" max="10751" min="10751" style="2" width="9.45"/>
    <col collapsed="false" customWidth="true" hidden="false" outlineLevel="0" max="10752" min="10752" style="2" width="11.18"/>
    <col collapsed="false" customWidth="true" hidden="false" outlineLevel="0" max="10753" min="10753" style="2" width="17.82"/>
    <col collapsed="false" customWidth="true" hidden="false" outlineLevel="0" max="10754" min="10754" style="2" width="22"/>
    <col collapsed="false" customWidth="true" hidden="false" outlineLevel="0" max="10755" min="10755" style="2" width="3.45"/>
    <col collapsed="false" customWidth="true" hidden="false" outlineLevel="0" max="10756" min="10756" style="2" width="7.82"/>
    <col collapsed="false" customWidth="true" hidden="false" outlineLevel="0" max="10757" min="10757" style="2" width="22"/>
    <col collapsed="false" customWidth="true" hidden="false" outlineLevel="0" max="10758" min="10758" style="2" width="14.54"/>
    <col collapsed="false" customWidth="false" hidden="false" outlineLevel="0" max="11004" min="10759" style="2" width="8.82"/>
    <col collapsed="false" customWidth="true" hidden="false" outlineLevel="0" max="11005" min="11005" style="2" width="18.54"/>
    <col collapsed="false" customWidth="true" hidden="false" outlineLevel="0" max="11006" min="11006" style="2" width="50.82"/>
    <col collapsed="false" customWidth="true" hidden="false" outlineLevel="0" max="11007" min="11007" style="2" width="9.45"/>
    <col collapsed="false" customWidth="true" hidden="false" outlineLevel="0" max="11008" min="11008" style="2" width="11.18"/>
    <col collapsed="false" customWidth="true" hidden="false" outlineLevel="0" max="11009" min="11009" style="2" width="17.82"/>
    <col collapsed="false" customWidth="true" hidden="false" outlineLevel="0" max="11010" min="11010" style="2" width="22"/>
    <col collapsed="false" customWidth="true" hidden="false" outlineLevel="0" max="11011" min="11011" style="2" width="3.45"/>
    <col collapsed="false" customWidth="true" hidden="false" outlineLevel="0" max="11012" min="11012" style="2" width="7.82"/>
    <col collapsed="false" customWidth="true" hidden="false" outlineLevel="0" max="11013" min="11013" style="2" width="22"/>
    <col collapsed="false" customWidth="true" hidden="false" outlineLevel="0" max="11014" min="11014" style="2" width="14.54"/>
    <col collapsed="false" customWidth="false" hidden="false" outlineLevel="0" max="11260" min="11015" style="2" width="8.82"/>
    <col collapsed="false" customWidth="true" hidden="false" outlineLevel="0" max="11261" min="11261" style="2" width="18.54"/>
    <col collapsed="false" customWidth="true" hidden="false" outlineLevel="0" max="11262" min="11262" style="2" width="50.82"/>
    <col collapsed="false" customWidth="true" hidden="false" outlineLevel="0" max="11263" min="11263" style="2" width="9.45"/>
    <col collapsed="false" customWidth="true" hidden="false" outlineLevel="0" max="11264" min="11264" style="2" width="11.18"/>
    <col collapsed="false" customWidth="true" hidden="false" outlineLevel="0" max="11265" min="11265" style="2" width="17.82"/>
    <col collapsed="false" customWidth="true" hidden="false" outlineLevel="0" max="11266" min="11266" style="2" width="22"/>
    <col collapsed="false" customWidth="true" hidden="false" outlineLevel="0" max="11267" min="11267" style="2" width="3.45"/>
    <col collapsed="false" customWidth="true" hidden="false" outlineLevel="0" max="11268" min="11268" style="2" width="7.82"/>
    <col collapsed="false" customWidth="true" hidden="false" outlineLevel="0" max="11269" min="11269" style="2" width="22"/>
    <col collapsed="false" customWidth="true" hidden="false" outlineLevel="0" max="11270" min="11270" style="2" width="14.54"/>
    <col collapsed="false" customWidth="false" hidden="false" outlineLevel="0" max="11516" min="11271" style="2" width="8.82"/>
    <col collapsed="false" customWidth="true" hidden="false" outlineLevel="0" max="11517" min="11517" style="2" width="18.54"/>
    <col collapsed="false" customWidth="true" hidden="false" outlineLevel="0" max="11518" min="11518" style="2" width="50.82"/>
    <col collapsed="false" customWidth="true" hidden="false" outlineLevel="0" max="11519" min="11519" style="2" width="9.45"/>
    <col collapsed="false" customWidth="true" hidden="false" outlineLevel="0" max="11520" min="11520" style="2" width="11.18"/>
    <col collapsed="false" customWidth="true" hidden="false" outlineLevel="0" max="11521" min="11521" style="2" width="17.82"/>
    <col collapsed="false" customWidth="true" hidden="false" outlineLevel="0" max="11522" min="11522" style="2" width="22"/>
    <col collapsed="false" customWidth="true" hidden="false" outlineLevel="0" max="11523" min="11523" style="2" width="3.45"/>
    <col collapsed="false" customWidth="true" hidden="false" outlineLevel="0" max="11524" min="11524" style="2" width="7.82"/>
    <col collapsed="false" customWidth="true" hidden="false" outlineLevel="0" max="11525" min="11525" style="2" width="22"/>
    <col collapsed="false" customWidth="true" hidden="false" outlineLevel="0" max="11526" min="11526" style="2" width="14.54"/>
    <col collapsed="false" customWidth="false" hidden="false" outlineLevel="0" max="11772" min="11527" style="2" width="8.82"/>
    <col collapsed="false" customWidth="true" hidden="false" outlineLevel="0" max="11773" min="11773" style="2" width="18.54"/>
    <col collapsed="false" customWidth="true" hidden="false" outlineLevel="0" max="11774" min="11774" style="2" width="50.82"/>
    <col collapsed="false" customWidth="true" hidden="false" outlineLevel="0" max="11775" min="11775" style="2" width="9.45"/>
    <col collapsed="false" customWidth="true" hidden="false" outlineLevel="0" max="11776" min="11776" style="2" width="11.18"/>
    <col collapsed="false" customWidth="true" hidden="false" outlineLevel="0" max="11777" min="11777" style="2" width="17.82"/>
    <col collapsed="false" customWidth="true" hidden="false" outlineLevel="0" max="11778" min="11778" style="2" width="22"/>
    <col collapsed="false" customWidth="true" hidden="false" outlineLevel="0" max="11779" min="11779" style="2" width="3.45"/>
    <col collapsed="false" customWidth="true" hidden="false" outlineLevel="0" max="11780" min="11780" style="2" width="7.82"/>
    <col collapsed="false" customWidth="true" hidden="false" outlineLevel="0" max="11781" min="11781" style="2" width="22"/>
    <col collapsed="false" customWidth="true" hidden="false" outlineLevel="0" max="11782" min="11782" style="2" width="14.54"/>
    <col collapsed="false" customWidth="false" hidden="false" outlineLevel="0" max="12028" min="11783" style="2" width="8.82"/>
    <col collapsed="false" customWidth="true" hidden="false" outlineLevel="0" max="12029" min="12029" style="2" width="18.54"/>
    <col collapsed="false" customWidth="true" hidden="false" outlineLevel="0" max="12030" min="12030" style="2" width="50.82"/>
    <col collapsed="false" customWidth="true" hidden="false" outlineLevel="0" max="12031" min="12031" style="2" width="9.45"/>
    <col collapsed="false" customWidth="true" hidden="false" outlineLevel="0" max="12032" min="12032" style="2" width="11.18"/>
    <col collapsed="false" customWidth="true" hidden="false" outlineLevel="0" max="12033" min="12033" style="2" width="17.82"/>
    <col collapsed="false" customWidth="true" hidden="false" outlineLevel="0" max="12034" min="12034" style="2" width="22"/>
    <col collapsed="false" customWidth="true" hidden="false" outlineLevel="0" max="12035" min="12035" style="2" width="3.45"/>
    <col collapsed="false" customWidth="true" hidden="false" outlineLevel="0" max="12036" min="12036" style="2" width="7.82"/>
    <col collapsed="false" customWidth="true" hidden="false" outlineLevel="0" max="12037" min="12037" style="2" width="22"/>
    <col collapsed="false" customWidth="true" hidden="false" outlineLevel="0" max="12038" min="12038" style="2" width="14.54"/>
    <col collapsed="false" customWidth="false" hidden="false" outlineLevel="0" max="12284" min="12039" style="2" width="8.82"/>
    <col collapsed="false" customWidth="true" hidden="false" outlineLevel="0" max="12285" min="12285" style="2" width="18.54"/>
    <col collapsed="false" customWidth="true" hidden="false" outlineLevel="0" max="12286" min="12286" style="2" width="50.82"/>
    <col collapsed="false" customWidth="true" hidden="false" outlineLevel="0" max="12287" min="12287" style="2" width="9.45"/>
    <col collapsed="false" customWidth="true" hidden="false" outlineLevel="0" max="12288" min="12288" style="2" width="11.18"/>
    <col collapsed="false" customWidth="true" hidden="false" outlineLevel="0" max="12289" min="12289" style="2" width="17.82"/>
    <col collapsed="false" customWidth="true" hidden="false" outlineLevel="0" max="12290" min="12290" style="2" width="22"/>
    <col collapsed="false" customWidth="true" hidden="false" outlineLevel="0" max="12291" min="12291" style="2" width="3.45"/>
    <col collapsed="false" customWidth="true" hidden="false" outlineLevel="0" max="12292" min="12292" style="2" width="7.82"/>
    <col collapsed="false" customWidth="true" hidden="false" outlineLevel="0" max="12293" min="12293" style="2" width="22"/>
    <col collapsed="false" customWidth="true" hidden="false" outlineLevel="0" max="12294" min="12294" style="2" width="14.54"/>
    <col collapsed="false" customWidth="false" hidden="false" outlineLevel="0" max="12540" min="12295" style="2" width="8.82"/>
    <col collapsed="false" customWidth="true" hidden="false" outlineLevel="0" max="12541" min="12541" style="2" width="18.54"/>
    <col collapsed="false" customWidth="true" hidden="false" outlineLevel="0" max="12542" min="12542" style="2" width="50.82"/>
    <col collapsed="false" customWidth="true" hidden="false" outlineLevel="0" max="12543" min="12543" style="2" width="9.45"/>
    <col collapsed="false" customWidth="true" hidden="false" outlineLevel="0" max="12544" min="12544" style="2" width="11.18"/>
    <col collapsed="false" customWidth="true" hidden="false" outlineLevel="0" max="12545" min="12545" style="2" width="17.82"/>
    <col collapsed="false" customWidth="true" hidden="false" outlineLevel="0" max="12546" min="12546" style="2" width="22"/>
    <col collapsed="false" customWidth="true" hidden="false" outlineLevel="0" max="12547" min="12547" style="2" width="3.45"/>
    <col collapsed="false" customWidth="true" hidden="false" outlineLevel="0" max="12548" min="12548" style="2" width="7.82"/>
    <col collapsed="false" customWidth="true" hidden="false" outlineLevel="0" max="12549" min="12549" style="2" width="22"/>
    <col collapsed="false" customWidth="true" hidden="false" outlineLevel="0" max="12550" min="12550" style="2" width="14.54"/>
    <col collapsed="false" customWidth="false" hidden="false" outlineLevel="0" max="12796" min="12551" style="2" width="8.82"/>
    <col collapsed="false" customWidth="true" hidden="false" outlineLevel="0" max="12797" min="12797" style="2" width="18.54"/>
    <col collapsed="false" customWidth="true" hidden="false" outlineLevel="0" max="12798" min="12798" style="2" width="50.82"/>
    <col collapsed="false" customWidth="true" hidden="false" outlineLevel="0" max="12799" min="12799" style="2" width="9.45"/>
    <col collapsed="false" customWidth="true" hidden="false" outlineLevel="0" max="12800" min="12800" style="2" width="11.18"/>
    <col collapsed="false" customWidth="true" hidden="false" outlineLevel="0" max="12801" min="12801" style="2" width="17.82"/>
    <col collapsed="false" customWidth="true" hidden="false" outlineLevel="0" max="12802" min="12802" style="2" width="22"/>
    <col collapsed="false" customWidth="true" hidden="false" outlineLevel="0" max="12803" min="12803" style="2" width="3.45"/>
    <col collapsed="false" customWidth="true" hidden="false" outlineLevel="0" max="12804" min="12804" style="2" width="7.82"/>
    <col collapsed="false" customWidth="true" hidden="false" outlineLevel="0" max="12805" min="12805" style="2" width="22"/>
    <col collapsed="false" customWidth="true" hidden="false" outlineLevel="0" max="12806" min="12806" style="2" width="14.54"/>
    <col collapsed="false" customWidth="false" hidden="false" outlineLevel="0" max="13052" min="12807" style="2" width="8.82"/>
    <col collapsed="false" customWidth="true" hidden="false" outlineLevel="0" max="13053" min="13053" style="2" width="18.54"/>
    <col collapsed="false" customWidth="true" hidden="false" outlineLevel="0" max="13054" min="13054" style="2" width="50.82"/>
    <col collapsed="false" customWidth="true" hidden="false" outlineLevel="0" max="13055" min="13055" style="2" width="9.45"/>
    <col collapsed="false" customWidth="true" hidden="false" outlineLevel="0" max="13056" min="13056" style="2" width="11.18"/>
    <col collapsed="false" customWidth="true" hidden="false" outlineLevel="0" max="13057" min="13057" style="2" width="17.82"/>
    <col collapsed="false" customWidth="true" hidden="false" outlineLevel="0" max="13058" min="13058" style="2" width="22"/>
    <col collapsed="false" customWidth="true" hidden="false" outlineLevel="0" max="13059" min="13059" style="2" width="3.45"/>
    <col collapsed="false" customWidth="true" hidden="false" outlineLevel="0" max="13060" min="13060" style="2" width="7.82"/>
    <col collapsed="false" customWidth="true" hidden="false" outlineLevel="0" max="13061" min="13061" style="2" width="22"/>
    <col collapsed="false" customWidth="true" hidden="false" outlineLevel="0" max="13062" min="13062" style="2" width="14.54"/>
    <col collapsed="false" customWidth="false" hidden="false" outlineLevel="0" max="13308" min="13063" style="2" width="8.82"/>
    <col collapsed="false" customWidth="true" hidden="false" outlineLevel="0" max="13309" min="13309" style="2" width="18.54"/>
    <col collapsed="false" customWidth="true" hidden="false" outlineLevel="0" max="13310" min="13310" style="2" width="50.82"/>
    <col collapsed="false" customWidth="true" hidden="false" outlineLevel="0" max="13311" min="13311" style="2" width="9.45"/>
    <col collapsed="false" customWidth="true" hidden="false" outlineLevel="0" max="13312" min="13312" style="2" width="11.18"/>
    <col collapsed="false" customWidth="true" hidden="false" outlineLevel="0" max="13313" min="13313" style="2" width="17.82"/>
    <col collapsed="false" customWidth="true" hidden="false" outlineLevel="0" max="13314" min="13314" style="2" width="22"/>
    <col collapsed="false" customWidth="true" hidden="false" outlineLevel="0" max="13315" min="13315" style="2" width="3.45"/>
    <col collapsed="false" customWidth="true" hidden="false" outlineLevel="0" max="13316" min="13316" style="2" width="7.82"/>
    <col collapsed="false" customWidth="true" hidden="false" outlineLevel="0" max="13317" min="13317" style="2" width="22"/>
    <col collapsed="false" customWidth="true" hidden="false" outlineLevel="0" max="13318" min="13318" style="2" width="14.54"/>
    <col collapsed="false" customWidth="false" hidden="false" outlineLevel="0" max="13564" min="13319" style="2" width="8.82"/>
    <col collapsed="false" customWidth="true" hidden="false" outlineLevel="0" max="13565" min="13565" style="2" width="18.54"/>
    <col collapsed="false" customWidth="true" hidden="false" outlineLevel="0" max="13566" min="13566" style="2" width="50.82"/>
    <col collapsed="false" customWidth="true" hidden="false" outlineLevel="0" max="13567" min="13567" style="2" width="9.45"/>
    <col collapsed="false" customWidth="true" hidden="false" outlineLevel="0" max="13568" min="13568" style="2" width="11.18"/>
    <col collapsed="false" customWidth="true" hidden="false" outlineLevel="0" max="13569" min="13569" style="2" width="17.82"/>
    <col collapsed="false" customWidth="true" hidden="false" outlineLevel="0" max="13570" min="13570" style="2" width="22"/>
    <col collapsed="false" customWidth="true" hidden="false" outlineLevel="0" max="13571" min="13571" style="2" width="3.45"/>
    <col collapsed="false" customWidth="true" hidden="false" outlineLevel="0" max="13572" min="13572" style="2" width="7.82"/>
    <col collapsed="false" customWidth="true" hidden="false" outlineLevel="0" max="13573" min="13573" style="2" width="22"/>
    <col collapsed="false" customWidth="true" hidden="false" outlineLevel="0" max="13574" min="13574" style="2" width="14.54"/>
    <col collapsed="false" customWidth="false" hidden="false" outlineLevel="0" max="13820" min="13575" style="2" width="8.82"/>
    <col collapsed="false" customWidth="true" hidden="false" outlineLevel="0" max="13821" min="13821" style="2" width="18.54"/>
    <col collapsed="false" customWidth="true" hidden="false" outlineLevel="0" max="13822" min="13822" style="2" width="50.82"/>
    <col collapsed="false" customWidth="true" hidden="false" outlineLevel="0" max="13823" min="13823" style="2" width="9.45"/>
    <col collapsed="false" customWidth="true" hidden="false" outlineLevel="0" max="13824" min="13824" style="2" width="11.18"/>
    <col collapsed="false" customWidth="true" hidden="false" outlineLevel="0" max="13825" min="13825" style="2" width="17.82"/>
    <col collapsed="false" customWidth="true" hidden="false" outlineLevel="0" max="13826" min="13826" style="2" width="22"/>
    <col collapsed="false" customWidth="true" hidden="false" outlineLevel="0" max="13827" min="13827" style="2" width="3.45"/>
    <col collapsed="false" customWidth="true" hidden="false" outlineLevel="0" max="13828" min="13828" style="2" width="7.82"/>
    <col collapsed="false" customWidth="true" hidden="false" outlineLevel="0" max="13829" min="13829" style="2" width="22"/>
    <col collapsed="false" customWidth="true" hidden="false" outlineLevel="0" max="13830" min="13830" style="2" width="14.54"/>
    <col collapsed="false" customWidth="false" hidden="false" outlineLevel="0" max="14076" min="13831" style="2" width="8.82"/>
    <col collapsed="false" customWidth="true" hidden="false" outlineLevel="0" max="14077" min="14077" style="2" width="18.54"/>
    <col collapsed="false" customWidth="true" hidden="false" outlineLevel="0" max="14078" min="14078" style="2" width="50.82"/>
    <col collapsed="false" customWidth="true" hidden="false" outlineLevel="0" max="14079" min="14079" style="2" width="9.45"/>
    <col collapsed="false" customWidth="true" hidden="false" outlineLevel="0" max="14080" min="14080" style="2" width="11.18"/>
    <col collapsed="false" customWidth="true" hidden="false" outlineLevel="0" max="14081" min="14081" style="2" width="17.82"/>
    <col collapsed="false" customWidth="true" hidden="false" outlineLevel="0" max="14082" min="14082" style="2" width="22"/>
    <col collapsed="false" customWidth="true" hidden="false" outlineLevel="0" max="14083" min="14083" style="2" width="3.45"/>
    <col collapsed="false" customWidth="true" hidden="false" outlineLevel="0" max="14084" min="14084" style="2" width="7.82"/>
    <col collapsed="false" customWidth="true" hidden="false" outlineLevel="0" max="14085" min="14085" style="2" width="22"/>
    <col collapsed="false" customWidth="true" hidden="false" outlineLevel="0" max="14086" min="14086" style="2" width="14.54"/>
    <col collapsed="false" customWidth="false" hidden="false" outlineLevel="0" max="14332" min="14087" style="2" width="8.82"/>
    <col collapsed="false" customWidth="true" hidden="false" outlineLevel="0" max="14333" min="14333" style="2" width="18.54"/>
    <col collapsed="false" customWidth="true" hidden="false" outlineLevel="0" max="14334" min="14334" style="2" width="50.82"/>
    <col collapsed="false" customWidth="true" hidden="false" outlineLevel="0" max="14335" min="14335" style="2" width="9.45"/>
    <col collapsed="false" customWidth="true" hidden="false" outlineLevel="0" max="14336" min="14336" style="2" width="11.18"/>
    <col collapsed="false" customWidth="true" hidden="false" outlineLevel="0" max="14337" min="14337" style="2" width="17.82"/>
    <col collapsed="false" customWidth="true" hidden="false" outlineLevel="0" max="14338" min="14338" style="2" width="22"/>
    <col collapsed="false" customWidth="true" hidden="false" outlineLevel="0" max="14339" min="14339" style="2" width="3.45"/>
    <col collapsed="false" customWidth="true" hidden="false" outlineLevel="0" max="14340" min="14340" style="2" width="7.82"/>
    <col collapsed="false" customWidth="true" hidden="false" outlineLevel="0" max="14341" min="14341" style="2" width="22"/>
    <col collapsed="false" customWidth="true" hidden="false" outlineLevel="0" max="14342" min="14342" style="2" width="14.54"/>
    <col collapsed="false" customWidth="false" hidden="false" outlineLevel="0" max="14588" min="14343" style="2" width="8.82"/>
    <col collapsed="false" customWidth="true" hidden="false" outlineLevel="0" max="14589" min="14589" style="2" width="18.54"/>
    <col collapsed="false" customWidth="true" hidden="false" outlineLevel="0" max="14590" min="14590" style="2" width="50.82"/>
    <col collapsed="false" customWidth="true" hidden="false" outlineLevel="0" max="14591" min="14591" style="2" width="9.45"/>
    <col collapsed="false" customWidth="true" hidden="false" outlineLevel="0" max="14592" min="14592" style="2" width="11.18"/>
    <col collapsed="false" customWidth="true" hidden="false" outlineLevel="0" max="14593" min="14593" style="2" width="17.82"/>
    <col collapsed="false" customWidth="true" hidden="false" outlineLevel="0" max="14594" min="14594" style="2" width="22"/>
    <col collapsed="false" customWidth="true" hidden="false" outlineLevel="0" max="14595" min="14595" style="2" width="3.45"/>
    <col collapsed="false" customWidth="true" hidden="false" outlineLevel="0" max="14596" min="14596" style="2" width="7.82"/>
    <col collapsed="false" customWidth="true" hidden="false" outlineLevel="0" max="14597" min="14597" style="2" width="22"/>
    <col collapsed="false" customWidth="true" hidden="false" outlineLevel="0" max="14598" min="14598" style="2" width="14.54"/>
    <col collapsed="false" customWidth="false" hidden="false" outlineLevel="0" max="14844" min="14599" style="2" width="8.82"/>
    <col collapsed="false" customWidth="true" hidden="false" outlineLevel="0" max="14845" min="14845" style="2" width="18.54"/>
    <col collapsed="false" customWidth="true" hidden="false" outlineLevel="0" max="14846" min="14846" style="2" width="50.82"/>
    <col collapsed="false" customWidth="true" hidden="false" outlineLevel="0" max="14847" min="14847" style="2" width="9.45"/>
    <col collapsed="false" customWidth="true" hidden="false" outlineLevel="0" max="14848" min="14848" style="2" width="11.18"/>
    <col collapsed="false" customWidth="true" hidden="false" outlineLevel="0" max="14849" min="14849" style="2" width="17.82"/>
    <col collapsed="false" customWidth="true" hidden="false" outlineLevel="0" max="14850" min="14850" style="2" width="22"/>
    <col collapsed="false" customWidth="true" hidden="false" outlineLevel="0" max="14851" min="14851" style="2" width="3.45"/>
    <col collapsed="false" customWidth="true" hidden="false" outlineLevel="0" max="14852" min="14852" style="2" width="7.82"/>
    <col collapsed="false" customWidth="true" hidden="false" outlineLevel="0" max="14853" min="14853" style="2" width="22"/>
    <col collapsed="false" customWidth="true" hidden="false" outlineLevel="0" max="14854" min="14854" style="2" width="14.54"/>
    <col collapsed="false" customWidth="false" hidden="false" outlineLevel="0" max="15100" min="14855" style="2" width="8.82"/>
    <col collapsed="false" customWidth="true" hidden="false" outlineLevel="0" max="15101" min="15101" style="2" width="18.54"/>
    <col collapsed="false" customWidth="true" hidden="false" outlineLevel="0" max="15102" min="15102" style="2" width="50.82"/>
    <col collapsed="false" customWidth="true" hidden="false" outlineLevel="0" max="15103" min="15103" style="2" width="9.45"/>
    <col collapsed="false" customWidth="true" hidden="false" outlineLevel="0" max="15104" min="15104" style="2" width="11.18"/>
    <col collapsed="false" customWidth="true" hidden="false" outlineLevel="0" max="15105" min="15105" style="2" width="17.82"/>
    <col collapsed="false" customWidth="true" hidden="false" outlineLevel="0" max="15106" min="15106" style="2" width="22"/>
    <col collapsed="false" customWidth="true" hidden="false" outlineLevel="0" max="15107" min="15107" style="2" width="3.45"/>
    <col collapsed="false" customWidth="true" hidden="false" outlineLevel="0" max="15108" min="15108" style="2" width="7.82"/>
    <col collapsed="false" customWidth="true" hidden="false" outlineLevel="0" max="15109" min="15109" style="2" width="22"/>
    <col collapsed="false" customWidth="true" hidden="false" outlineLevel="0" max="15110" min="15110" style="2" width="14.54"/>
    <col collapsed="false" customWidth="false" hidden="false" outlineLevel="0" max="15356" min="15111" style="2" width="8.82"/>
    <col collapsed="false" customWidth="true" hidden="false" outlineLevel="0" max="15357" min="15357" style="2" width="18.54"/>
    <col collapsed="false" customWidth="true" hidden="false" outlineLevel="0" max="15358" min="15358" style="2" width="50.82"/>
    <col collapsed="false" customWidth="true" hidden="false" outlineLevel="0" max="15359" min="15359" style="2" width="9.45"/>
    <col collapsed="false" customWidth="true" hidden="false" outlineLevel="0" max="15360" min="15360" style="2" width="11.18"/>
    <col collapsed="false" customWidth="true" hidden="false" outlineLevel="0" max="15361" min="15361" style="2" width="17.82"/>
    <col collapsed="false" customWidth="true" hidden="false" outlineLevel="0" max="15362" min="15362" style="2" width="22"/>
    <col collapsed="false" customWidth="true" hidden="false" outlineLevel="0" max="15363" min="15363" style="2" width="3.45"/>
    <col collapsed="false" customWidth="true" hidden="false" outlineLevel="0" max="15364" min="15364" style="2" width="7.82"/>
    <col collapsed="false" customWidth="true" hidden="false" outlineLevel="0" max="15365" min="15365" style="2" width="22"/>
    <col collapsed="false" customWidth="true" hidden="false" outlineLevel="0" max="15366" min="15366" style="2" width="14.54"/>
    <col collapsed="false" customWidth="false" hidden="false" outlineLevel="0" max="15612" min="15367" style="2" width="8.82"/>
    <col collapsed="false" customWidth="true" hidden="false" outlineLevel="0" max="15613" min="15613" style="2" width="18.54"/>
    <col collapsed="false" customWidth="true" hidden="false" outlineLevel="0" max="15614" min="15614" style="2" width="50.82"/>
    <col collapsed="false" customWidth="true" hidden="false" outlineLevel="0" max="15615" min="15615" style="2" width="9.45"/>
    <col collapsed="false" customWidth="true" hidden="false" outlineLevel="0" max="15616" min="15616" style="2" width="11.18"/>
    <col collapsed="false" customWidth="true" hidden="false" outlineLevel="0" max="15617" min="15617" style="2" width="17.82"/>
    <col collapsed="false" customWidth="true" hidden="false" outlineLevel="0" max="15618" min="15618" style="2" width="22"/>
    <col collapsed="false" customWidth="true" hidden="false" outlineLevel="0" max="15619" min="15619" style="2" width="3.45"/>
    <col collapsed="false" customWidth="true" hidden="false" outlineLevel="0" max="15620" min="15620" style="2" width="7.82"/>
    <col collapsed="false" customWidth="true" hidden="false" outlineLevel="0" max="15621" min="15621" style="2" width="22"/>
    <col collapsed="false" customWidth="true" hidden="false" outlineLevel="0" max="15622" min="15622" style="2" width="14.54"/>
    <col collapsed="false" customWidth="false" hidden="false" outlineLevel="0" max="15868" min="15623" style="2" width="8.82"/>
    <col collapsed="false" customWidth="true" hidden="false" outlineLevel="0" max="15869" min="15869" style="2" width="18.54"/>
    <col collapsed="false" customWidth="true" hidden="false" outlineLevel="0" max="15870" min="15870" style="2" width="50.82"/>
    <col collapsed="false" customWidth="true" hidden="false" outlineLevel="0" max="15871" min="15871" style="2" width="9.45"/>
    <col collapsed="false" customWidth="true" hidden="false" outlineLevel="0" max="15872" min="15872" style="2" width="11.18"/>
    <col collapsed="false" customWidth="true" hidden="false" outlineLevel="0" max="15873" min="15873" style="2" width="17.82"/>
    <col collapsed="false" customWidth="true" hidden="false" outlineLevel="0" max="15874" min="15874" style="2" width="22"/>
    <col collapsed="false" customWidth="true" hidden="false" outlineLevel="0" max="15875" min="15875" style="2" width="3.45"/>
    <col collapsed="false" customWidth="true" hidden="false" outlineLevel="0" max="15876" min="15876" style="2" width="7.82"/>
    <col collapsed="false" customWidth="true" hidden="false" outlineLevel="0" max="15877" min="15877" style="2" width="22"/>
    <col collapsed="false" customWidth="true" hidden="false" outlineLevel="0" max="15878" min="15878" style="2" width="14.54"/>
    <col collapsed="false" customWidth="false" hidden="false" outlineLevel="0" max="16124" min="15879" style="2" width="8.82"/>
    <col collapsed="false" customWidth="true" hidden="false" outlineLevel="0" max="16125" min="16125" style="2" width="18.54"/>
    <col collapsed="false" customWidth="true" hidden="false" outlineLevel="0" max="16126" min="16126" style="2" width="50.82"/>
    <col collapsed="false" customWidth="true" hidden="false" outlineLevel="0" max="16127" min="16127" style="2" width="9.45"/>
    <col collapsed="false" customWidth="true" hidden="false" outlineLevel="0" max="16128" min="16128" style="2" width="11.18"/>
    <col collapsed="false" customWidth="true" hidden="false" outlineLevel="0" max="16129" min="16129" style="2" width="17.82"/>
    <col collapsed="false" customWidth="true" hidden="false" outlineLevel="0" max="16130" min="16130" style="2" width="22"/>
    <col collapsed="false" customWidth="true" hidden="false" outlineLevel="0" max="16131" min="16131" style="2" width="3.45"/>
    <col collapsed="false" customWidth="true" hidden="false" outlineLevel="0" max="16132" min="16132" style="2" width="7.82"/>
    <col collapsed="false" customWidth="true" hidden="false" outlineLevel="0" max="16133" min="16133" style="2" width="22"/>
    <col collapsed="false" customWidth="true" hidden="false" outlineLevel="0" max="16134" min="16134" style="2" width="14.54"/>
    <col collapsed="false" customWidth="false" hidden="false" outlineLevel="0" max="16384" min="16135" style="2" width="8.82"/>
  </cols>
  <sheetData>
    <row r="1" customFormat="false" ht="29.2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customFormat="false" ht="25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21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29.25" hidden="false" customHeight="true" outlineLevel="0" collapsed="false">
      <c r="A4" s="4" t="s">
        <v>3</v>
      </c>
      <c r="I4" s="4" t="s">
        <v>4</v>
      </c>
    </row>
    <row r="5" customFormat="false" ht="23.25" hidden="false" customHeight="true" outlineLevel="0" collapsed="false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6" t="s">
        <v>10</v>
      </c>
      <c r="G5" s="6"/>
      <c r="H5" s="7"/>
      <c r="I5" s="5" t="s">
        <v>5</v>
      </c>
      <c r="J5" s="5" t="s">
        <v>6</v>
      </c>
      <c r="K5" s="5" t="s">
        <v>7</v>
      </c>
      <c r="L5" s="5" t="s">
        <v>8</v>
      </c>
      <c r="M5" s="5" t="s">
        <v>9</v>
      </c>
      <c r="N5" s="5" t="s">
        <v>11</v>
      </c>
      <c r="O5" s="8" t="s">
        <v>12</v>
      </c>
      <c r="P5" s="8" t="s">
        <v>13</v>
      </c>
      <c r="Q5" s="8" t="s">
        <v>14</v>
      </c>
      <c r="R5" s="8" t="s">
        <v>15</v>
      </c>
      <c r="S5" s="5" t="s">
        <v>16</v>
      </c>
      <c r="T5" s="5" t="s">
        <v>17</v>
      </c>
      <c r="V5" s="9" t="s">
        <v>18</v>
      </c>
    </row>
    <row r="6" customFormat="false" ht="22.5" hidden="false" customHeight="true" outlineLevel="0" collapsed="false">
      <c r="A6" s="5"/>
      <c r="B6" s="5"/>
      <c r="C6" s="5"/>
      <c r="D6" s="5"/>
      <c r="E6" s="5"/>
      <c r="F6" s="6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V6" s="9"/>
    </row>
    <row r="7" customFormat="false" ht="21" hidden="false" customHeight="true" outlineLevel="0" collapsed="false">
      <c r="A7" s="10" t="n">
        <v>1</v>
      </c>
      <c r="B7" s="11" t="n">
        <v>2</v>
      </c>
      <c r="C7" s="10" t="n">
        <v>3</v>
      </c>
      <c r="D7" s="10"/>
      <c r="E7" s="10" t="n">
        <v>4</v>
      </c>
      <c r="F7" s="12" t="n">
        <v>5</v>
      </c>
      <c r="G7" s="12"/>
      <c r="H7" s="13"/>
      <c r="I7" s="10" t="n">
        <v>1</v>
      </c>
      <c r="J7" s="11" t="n">
        <v>2</v>
      </c>
      <c r="K7" s="10" t="n">
        <v>3</v>
      </c>
      <c r="L7" s="10"/>
      <c r="M7" s="10" t="n">
        <v>4</v>
      </c>
      <c r="N7" s="14" t="n">
        <v>5</v>
      </c>
      <c r="O7" s="15" t="n">
        <v>6</v>
      </c>
      <c r="P7" s="16"/>
      <c r="Q7" s="16"/>
      <c r="R7" s="16"/>
      <c r="S7" s="17"/>
      <c r="T7" s="18"/>
      <c r="V7" s="16"/>
    </row>
    <row r="8" customFormat="false" ht="33" hidden="false" customHeight="true" outlineLevel="0" collapsed="false">
      <c r="A8" s="19" t="s">
        <v>19</v>
      </c>
      <c r="B8" s="20" t="s">
        <v>20</v>
      </c>
      <c r="C8" s="19"/>
      <c r="D8" s="19"/>
      <c r="E8" s="21"/>
      <c r="F8" s="22" t="n">
        <f aca="false">F9</f>
        <v>3301868000</v>
      </c>
      <c r="G8" s="23"/>
      <c r="H8" s="24"/>
      <c r="I8" s="19" t="s">
        <v>19</v>
      </c>
      <c r="J8" s="20" t="s">
        <v>20</v>
      </c>
      <c r="K8" s="19"/>
      <c r="L8" s="19"/>
      <c r="M8" s="21"/>
      <c r="N8" s="22" t="n">
        <f aca="false">N9</f>
        <v>3301868000</v>
      </c>
      <c r="O8" s="25"/>
      <c r="P8" s="26"/>
      <c r="Q8" s="26"/>
      <c r="R8" s="26"/>
      <c r="S8" s="17"/>
      <c r="T8" s="18"/>
      <c r="V8" s="27" t="n">
        <v>1749102083</v>
      </c>
    </row>
    <row r="9" customFormat="false" ht="48.75" hidden="false" customHeight="true" outlineLevel="0" collapsed="false">
      <c r="A9" s="19" t="n">
        <v>7437</v>
      </c>
      <c r="B9" s="20" t="s">
        <v>21</v>
      </c>
      <c r="C9" s="19"/>
      <c r="D9" s="19"/>
      <c r="E9" s="21"/>
      <c r="F9" s="28" t="n">
        <f aca="false">F10</f>
        <v>3301868000</v>
      </c>
      <c r="G9" s="23"/>
      <c r="H9" s="24"/>
      <c r="I9" s="19" t="n">
        <v>7437</v>
      </c>
      <c r="J9" s="20" t="s">
        <v>21</v>
      </c>
      <c r="K9" s="19"/>
      <c r="L9" s="19"/>
      <c r="M9" s="19"/>
      <c r="N9" s="28" t="n">
        <f aca="false">N10</f>
        <v>3301868000</v>
      </c>
      <c r="O9" s="29"/>
      <c r="P9" s="26"/>
      <c r="Q9" s="26"/>
      <c r="R9" s="26"/>
      <c r="S9" s="17"/>
      <c r="T9" s="18"/>
      <c r="V9" s="27" t="n">
        <v>1749102083</v>
      </c>
    </row>
    <row r="10" customFormat="false" ht="30" hidden="false" customHeight="true" outlineLevel="0" collapsed="false">
      <c r="A10" s="12" t="s">
        <v>22</v>
      </c>
      <c r="B10" s="30" t="s">
        <v>23</v>
      </c>
      <c r="C10" s="12"/>
      <c r="D10" s="12"/>
      <c r="E10" s="31"/>
      <c r="F10" s="28" t="n">
        <f aca="false">F12</f>
        <v>3301868000</v>
      </c>
      <c r="G10" s="32"/>
      <c r="H10" s="33"/>
      <c r="I10" s="12" t="s">
        <v>22</v>
      </c>
      <c r="J10" s="30" t="s">
        <v>23</v>
      </c>
      <c r="K10" s="12"/>
      <c r="L10" s="12"/>
      <c r="M10" s="31"/>
      <c r="N10" s="28" t="n">
        <f aca="false">N12</f>
        <v>3301868000</v>
      </c>
      <c r="O10" s="34" t="e">
        <f aca="false">SUM(O12,#REF!,#REF!,#REF!,#REF!)</f>
        <v>#REF!</v>
      </c>
      <c r="P10" s="35" t="n">
        <f aca="false">SUM(P19:P214)</f>
        <v>8928000</v>
      </c>
      <c r="Q10" s="35" t="n">
        <f aca="false">SUM(Q19:Q214)</f>
        <v>0</v>
      </c>
      <c r="R10" s="35"/>
      <c r="S10" s="17"/>
      <c r="T10" s="36" t="n">
        <f aca="false">N10-F10</f>
        <v>0</v>
      </c>
      <c r="V10" s="27" t="n">
        <v>1732627453</v>
      </c>
    </row>
    <row r="11" customFormat="false" ht="30" hidden="false" customHeight="true" outlineLevel="0" collapsed="false">
      <c r="A11" s="37"/>
      <c r="B11" s="38" t="s">
        <v>24</v>
      </c>
      <c r="C11" s="37"/>
      <c r="D11" s="39"/>
      <c r="E11" s="31"/>
      <c r="F11" s="40"/>
      <c r="G11" s="32"/>
      <c r="H11" s="33"/>
      <c r="I11" s="37"/>
      <c r="J11" s="38" t="s">
        <v>24</v>
      </c>
      <c r="K11" s="37"/>
      <c r="L11" s="39"/>
      <c r="M11" s="31"/>
      <c r="N11" s="41"/>
      <c r="O11" s="42"/>
      <c r="P11" s="26"/>
      <c r="Q11" s="26"/>
      <c r="R11" s="26"/>
      <c r="S11" s="17"/>
      <c r="T11" s="18"/>
    </row>
    <row r="12" s="54" customFormat="true" ht="30" hidden="false" customHeight="true" outlineLevel="0" collapsed="false">
      <c r="A12" s="43" t="s">
        <v>25</v>
      </c>
      <c r="B12" s="44" t="s">
        <v>26</v>
      </c>
      <c r="C12" s="43" t="n">
        <v>1</v>
      </c>
      <c r="D12" s="43" t="s">
        <v>27</v>
      </c>
      <c r="E12" s="45"/>
      <c r="F12" s="46" t="n">
        <f aca="false">SUM(F13,F18,F36,F41)</f>
        <v>3301868000</v>
      </c>
      <c r="G12" s="47"/>
      <c r="H12" s="48"/>
      <c r="I12" s="43" t="s">
        <v>25</v>
      </c>
      <c r="J12" s="44" t="s">
        <v>26</v>
      </c>
      <c r="K12" s="43" t="n">
        <v>1</v>
      </c>
      <c r="L12" s="43" t="s">
        <v>27</v>
      </c>
      <c r="M12" s="45"/>
      <c r="N12" s="46" t="n">
        <f aca="false">SUM(N13,N18,N36,N41)</f>
        <v>3301868000</v>
      </c>
      <c r="O12" s="49" t="e">
        <f aca="false">SUM(O13:O214)</f>
        <v>#REF!</v>
      </c>
      <c r="P12" s="49" t="n">
        <f aca="false">SUM(P13:P214)</f>
        <v>8928000</v>
      </c>
      <c r="Q12" s="50" t="n">
        <f aca="false">SUM(Q13:Q214)</f>
        <v>0</v>
      </c>
      <c r="R12" s="50" t="n">
        <f aca="false">SUM(R13:R214)</f>
        <v>0</v>
      </c>
      <c r="S12" s="51"/>
      <c r="T12" s="52" t="n">
        <f aca="false">N12-F12</f>
        <v>0</v>
      </c>
      <c r="U12" s="53" t="n">
        <f aca="false">T17+T31+T35+T45+T60+T61+T77+T78+T92+T93+T103+T106+T110+T118+T122+T123+T138+T127+T144+T157+T161+T176+T189+T193+T197+T198+T199+T200+T201+T202+T206+T207</f>
        <v>0</v>
      </c>
      <c r="V12" s="27" t="n">
        <v>1246614203</v>
      </c>
    </row>
    <row r="13" customFormat="false" ht="30" hidden="false" customHeight="true" outlineLevel="0" collapsed="false">
      <c r="A13" s="55" t="n">
        <v>100</v>
      </c>
      <c r="B13" s="56" t="s">
        <v>28</v>
      </c>
      <c r="C13" s="55"/>
      <c r="D13" s="55"/>
      <c r="E13" s="57"/>
      <c r="F13" s="58" t="n">
        <f aca="false">SUM(F14)</f>
        <v>1482000000</v>
      </c>
      <c r="G13" s="59"/>
      <c r="H13" s="60"/>
      <c r="I13" s="55" t="n">
        <v>100</v>
      </c>
      <c r="J13" s="56" t="s">
        <v>28</v>
      </c>
      <c r="K13" s="55"/>
      <c r="L13" s="55"/>
      <c r="M13" s="57"/>
      <c r="N13" s="58" t="n">
        <f aca="false">SUM(N14)</f>
        <v>1415000000</v>
      </c>
      <c r="O13" s="61" t="n">
        <f aca="false">SUM(O14,O27)</f>
        <v>0</v>
      </c>
      <c r="P13" s="16"/>
      <c r="Q13" s="16"/>
      <c r="R13" s="16"/>
      <c r="S13" s="17"/>
      <c r="T13" s="18"/>
      <c r="V13" s="27" t="n">
        <v>429700000</v>
      </c>
    </row>
    <row r="14" customFormat="false" ht="30" hidden="false" customHeight="true" outlineLevel="0" collapsed="false">
      <c r="A14" s="62" t="s">
        <v>29</v>
      </c>
      <c r="B14" s="63" t="s">
        <v>30</v>
      </c>
      <c r="C14" s="64"/>
      <c r="D14" s="64"/>
      <c r="E14" s="65"/>
      <c r="F14" s="66" t="n">
        <f aca="false">SUM(F15)</f>
        <v>1482000000</v>
      </c>
      <c r="G14" s="67"/>
      <c r="H14" s="48"/>
      <c r="I14" s="62" t="s">
        <v>29</v>
      </c>
      <c r="J14" s="63" t="s">
        <v>30</v>
      </c>
      <c r="K14" s="64"/>
      <c r="L14" s="64"/>
      <c r="M14" s="65"/>
      <c r="N14" s="66" t="n">
        <f aca="false">SUM(N15)</f>
        <v>1415000000</v>
      </c>
      <c r="O14" s="68" t="n">
        <f aca="false">SUM(O15,O18,O21,O24)</f>
        <v>0</v>
      </c>
      <c r="P14" s="69"/>
      <c r="Q14" s="69"/>
      <c r="R14" s="69"/>
      <c r="S14" s="17"/>
      <c r="T14" s="18"/>
      <c r="V14" s="27" t="n">
        <v>429700000</v>
      </c>
    </row>
    <row r="15" customFormat="false" ht="30" hidden="false" customHeight="true" outlineLevel="1" collapsed="false">
      <c r="A15" s="70" t="n">
        <v>521115</v>
      </c>
      <c r="B15" s="71" t="s">
        <v>31</v>
      </c>
      <c r="C15" s="70"/>
      <c r="D15" s="70"/>
      <c r="E15" s="72"/>
      <c r="F15" s="73" t="n">
        <f aca="false">F17</f>
        <v>1482000000</v>
      </c>
      <c r="G15" s="74"/>
      <c r="H15" s="75"/>
      <c r="I15" s="70" t="n">
        <v>521115</v>
      </c>
      <c r="J15" s="71" t="s">
        <v>31</v>
      </c>
      <c r="K15" s="70"/>
      <c r="L15" s="70"/>
      <c r="M15" s="72"/>
      <c r="N15" s="73" t="n">
        <f aca="false">N17</f>
        <v>1415000000</v>
      </c>
      <c r="O15" s="76" t="n">
        <f aca="false">O17</f>
        <v>0</v>
      </c>
      <c r="P15" s="18"/>
      <c r="Q15" s="18"/>
      <c r="R15" s="18"/>
      <c r="S15" s="17"/>
      <c r="T15" s="18"/>
      <c r="V15" s="27" t="n">
        <v>429700000</v>
      </c>
    </row>
    <row r="16" customFormat="false" ht="30" hidden="false" customHeight="true" outlineLevel="1" collapsed="false">
      <c r="A16" s="70"/>
      <c r="B16" s="77" t="s">
        <v>32</v>
      </c>
      <c r="C16" s="70"/>
      <c r="D16" s="70"/>
      <c r="E16" s="72"/>
      <c r="F16" s="73"/>
      <c r="G16" s="74"/>
      <c r="H16" s="75"/>
      <c r="I16" s="70"/>
      <c r="J16" s="77" t="s">
        <v>32</v>
      </c>
      <c r="K16" s="70"/>
      <c r="L16" s="70"/>
      <c r="M16" s="72"/>
      <c r="N16" s="73"/>
      <c r="O16" s="78"/>
      <c r="P16" s="18"/>
      <c r="Q16" s="18"/>
      <c r="R16" s="18"/>
      <c r="S16" s="17"/>
      <c r="T16" s="18"/>
    </row>
    <row r="17" customFormat="false" ht="46.5" hidden="false" customHeight="true" outlineLevel="1" collapsed="false">
      <c r="A17" s="79"/>
      <c r="B17" s="80" t="s">
        <v>33</v>
      </c>
      <c r="C17" s="79" t="n">
        <v>1</v>
      </c>
      <c r="D17" s="79" t="s">
        <v>34</v>
      </c>
      <c r="E17" s="81" t="n">
        <v>1482000000</v>
      </c>
      <c r="F17" s="81" t="n">
        <f aca="false">C17*E17</f>
        <v>1482000000</v>
      </c>
      <c r="G17" s="82"/>
      <c r="H17" s="83"/>
      <c r="I17" s="79"/>
      <c r="J17" s="80" t="s">
        <v>33</v>
      </c>
      <c r="K17" s="79" t="n">
        <v>1</v>
      </c>
      <c r="L17" s="79" t="s">
        <v>34</v>
      </c>
      <c r="M17" s="81" t="n">
        <v>1415000000</v>
      </c>
      <c r="N17" s="81" t="n">
        <f aca="false">K17*M17</f>
        <v>1415000000</v>
      </c>
      <c r="O17" s="84"/>
      <c r="P17" s="85"/>
      <c r="Q17" s="85"/>
      <c r="R17" s="86" t="n">
        <f aca="false">F17-N17</f>
        <v>67000000</v>
      </c>
      <c r="S17" s="87"/>
      <c r="T17" s="52" t="n">
        <f aca="false">N17-F17</f>
        <v>-67000000</v>
      </c>
      <c r="V17" s="88" t="n">
        <v>429700000</v>
      </c>
    </row>
    <row r="18" customFormat="false" ht="30" hidden="false" customHeight="true" outlineLevel="0" collapsed="false">
      <c r="A18" s="55" t="n">
        <v>101</v>
      </c>
      <c r="B18" s="56" t="s">
        <v>35</v>
      </c>
      <c r="C18" s="55"/>
      <c r="D18" s="55"/>
      <c r="E18" s="57"/>
      <c r="F18" s="58" t="n">
        <f aca="false">F19+F32</f>
        <v>715573000</v>
      </c>
      <c r="G18" s="59"/>
      <c r="H18" s="60"/>
      <c r="I18" s="55" t="n">
        <v>101</v>
      </c>
      <c r="J18" s="56" t="s">
        <v>35</v>
      </c>
      <c r="K18" s="55"/>
      <c r="L18" s="55"/>
      <c r="M18" s="57"/>
      <c r="N18" s="58" t="n">
        <f aca="false">N19+N32</f>
        <v>689221000</v>
      </c>
      <c r="O18" s="61"/>
      <c r="P18" s="16"/>
      <c r="Q18" s="16"/>
      <c r="R18" s="16"/>
      <c r="S18" s="17"/>
      <c r="T18" s="18"/>
      <c r="V18" s="27" t="n">
        <v>214281809</v>
      </c>
    </row>
    <row r="19" customFormat="false" ht="39.75" hidden="false" customHeight="true" outlineLevel="0" collapsed="false">
      <c r="A19" s="62" t="s">
        <v>29</v>
      </c>
      <c r="B19" s="63" t="s">
        <v>36</v>
      </c>
      <c r="C19" s="64"/>
      <c r="D19" s="64"/>
      <c r="E19" s="65"/>
      <c r="F19" s="66" t="n">
        <f aca="false">SUM(F20,F23,F26,F29)</f>
        <v>389533000</v>
      </c>
      <c r="G19" s="67"/>
      <c r="H19" s="48"/>
      <c r="I19" s="62" t="s">
        <v>29</v>
      </c>
      <c r="J19" s="63" t="s">
        <v>36</v>
      </c>
      <c r="K19" s="64"/>
      <c r="L19" s="64"/>
      <c r="M19" s="65"/>
      <c r="N19" s="66" t="n">
        <f aca="false">SUM(N20,N23,N26,N29)</f>
        <v>390637000</v>
      </c>
      <c r="O19" s="68"/>
      <c r="P19" s="69"/>
      <c r="Q19" s="69"/>
      <c r="R19" s="69"/>
      <c r="S19" s="17"/>
      <c r="T19" s="18"/>
      <c r="V19" s="27" t="n">
        <v>73512809</v>
      </c>
    </row>
    <row r="20" customFormat="false" ht="30" hidden="false" customHeight="true" outlineLevel="1" collapsed="false">
      <c r="A20" s="70" t="n">
        <v>524111</v>
      </c>
      <c r="B20" s="71" t="s">
        <v>37</v>
      </c>
      <c r="C20" s="70"/>
      <c r="D20" s="70"/>
      <c r="E20" s="72"/>
      <c r="F20" s="73" t="n">
        <f aca="false">F22</f>
        <v>117366000</v>
      </c>
      <c r="G20" s="74"/>
      <c r="H20" s="75"/>
      <c r="I20" s="70" t="n">
        <v>524111</v>
      </c>
      <c r="J20" s="71" t="s">
        <v>37</v>
      </c>
      <c r="K20" s="70"/>
      <c r="L20" s="70"/>
      <c r="M20" s="72"/>
      <c r="N20" s="73" t="n">
        <f aca="false">N22</f>
        <v>117366000</v>
      </c>
      <c r="O20" s="76"/>
      <c r="P20" s="18"/>
      <c r="Q20" s="18"/>
      <c r="R20" s="18"/>
      <c r="S20" s="17"/>
      <c r="T20" s="18"/>
      <c r="V20" s="27" t="n">
        <v>42031700</v>
      </c>
    </row>
    <row r="21" customFormat="false" ht="30" hidden="false" customHeight="true" outlineLevel="1" collapsed="false">
      <c r="A21" s="70"/>
      <c r="B21" s="77" t="s">
        <v>32</v>
      </c>
      <c r="C21" s="70"/>
      <c r="D21" s="70"/>
      <c r="E21" s="72"/>
      <c r="F21" s="73"/>
      <c r="G21" s="74"/>
      <c r="H21" s="75"/>
      <c r="I21" s="70"/>
      <c r="J21" s="77" t="s">
        <v>32</v>
      </c>
      <c r="K21" s="70"/>
      <c r="L21" s="70"/>
      <c r="M21" s="72"/>
      <c r="N21" s="73"/>
      <c r="O21" s="78"/>
      <c r="P21" s="18"/>
      <c r="Q21" s="18"/>
      <c r="R21" s="18"/>
      <c r="S21" s="17"/>
      <c r="T21" s="18"/>
    </row>
    <row r="22" customFormat="false" ht="46.5" hidden="false" customHeight="true" outlineLevel="1" collapsed="false">
      <c r="A22" s="89"/>
      <c r="B22" s="90" t="s">
        <v>38</v>
      </c>
      <c r="C22" s="89" t="n">
        <v>1</v>
      </c>
      <c r="D22" s="89" t="s">
        <v>34</v>
      </c>
      <c r="E22" s="91" t="n">
        <v>117366000</v>
      </c>
      <c r="F22" s="91" t="n">
        <f aca="false">C22*E22</f>
        <v>117366000</v>
      </c>
      <c r="G22" s="92" t="s">
        <v>39</v>
      </c>
      <c r="H22" s="93"/>
      <c r="I22" s="89"/>
      <c r="J22" s="90" t="s">
        <v>38</v>
      </c>
      <c r="K22" s="89" t="n">
        <v>1</v>
      </c>
      <c r="L22" s="89" t="s">
        <v>34</v>
      </c>
      <c r="M22" s="91" t="n">
        <v>117366000</v>
      </c>
      <c r="N22" s="91" t="n">
        <f aca="false">K22*M22</f>
        <v>117366000</v>
      </c>
      <c r="O22" s="94" t="n">
        <v>344000</v>
      </c>
      <c r="P22" s="95"/>
      <c r="Q22" s="95"/>
      <c r="R22" s="95"/>
      <c r="S22" s="87"/>
      <c r="T22" s="16"/>
      <c r="V22" s="88" t="n">
        <v>42031700</v>
      </c>
    </row>
    <row r="23" customFormat="false" ht="30" hidden="false" customHeight="true" outlineLevel="1" collapsed="false">
      <c r="A23" s="70" t="n">
        <v>524113</v>
      </c>
      <c r="B23" s="71" t="s">
        <v>40</v>
      </c>
      <c r="C23" s="70"/>
      <c r="D23" s="70"/>
      <c r="E23" s="72"/>
      <c r="F23" s="73" t="n">
        <f aca="false">F25</f>
        <v>10560000</v>
      </c>
      <c r="G23" s="74"/>
      <c r="H23" s="75"/>
      <c r="I23" s="70" t="n">
        <v>524113</v>
      </c>
      <c r="J23" s="71" t="s">
        <v>40</v>
      </c>
      <c r="K23" s="70"/>
      <c r="L23" s="70"/>
      <c r="M23" s="72"/>
      <c r="N23" s="73" t="n">
        <f aca="false">N25</f>
        <v>10560000</v>
      </c>
      <c r="O23" s="76" t="n">
        <f aca="false">O25</f>
        <v>0</v>
      </c>
      <c r="P23" s="18"/>
      <c r="Q23" s="18"/>
      <c r="R23" s="18"/>
      <c r="S23" s="17"/>
      <c r="T23" s="18"/>
      <c r="V23" s="27" t="n">
        <v>2880000</v>
      </c>
    </row>
    <row r="24" customFormat="false" ht="30" hidden="false" customHeight="true" outlineLevel="1" collapsed="false">
      <c r="A24" s="70"/>
      <c r="B24" s="77" t="s">
        <v>32</v>
      </c>
      <c r="C24" s="70"/>
      <c r="D24" s="70"/>
      <c r="E24" s="72"/>
      <c r="F24" s="73"/>
      <c r="G24" s="74"/>
      <c r="H24" s="75"/>
      <c r="I24" s="70"/>
      <c r="J24" s="77" t="s">
        <v>32</v>
      </c>
      <c r="K24" s="70"/>
      <c r="L24" s="70"/>
      <c r="M24" s="72"/>
      <c r="N24" s="73"/>
      <c r="O24" s="78"/>
      <c r="P24" s="18"/>
      <c r="Q24" s="18"/>
      <c r="R24" s="18"/>
      <c r="S24" s="17"/>
      <c r="T24" s="18"/>
    </row>
    <row r="25" customFormat="false" ht="30" hidden="false" customHeight="true" outlineLevel="1" collapsed="false">
      <c r="A25" s="89"/>
      <c r="B25" s="90" t="s">
        <v>41</v>
      </c>
      <c r="C25" s="89" t="n">
        <v>1</v>
      </c>
      <c r="D25" s="89" t="s">
        <v>34</v>
      </c>
      <c r="E25" s="96" t="n">
        <v>10560000</v>
      </c>
      <c r="F25" s="91" t="n">
        <f aca="false">C25*E25</f>
        <v>10560000</v>
      </c>
      <c r="G25" s="92"/>
      <c r="H25" s="93"/>
      <c r="I25" s="89"/>
      <c r="J25" s="90" t="s">
        <v>41</v>
      </c>
      <c r="K25" s="89" t="n">
        <v>1</v>
      </c>
      <c r="L25" s="89" t="s">
        <v>34</v>
      </c>
      <c r="M25" s="96" t="n">
        <v>10560000</v>
      </c>
      <c r="N25" s="91" t="n">
        <f aca="false">K25*M25</f>
        <v>10560000</v>
      </c>
      <c r="O25" s="97"/>
      <c r="P25" s="95"/>
      <c r="Q25" s="95"/>
      <c r="R25" s="95"/>
      <c r="S25" s="87"/>
      <c r="T25" s="16"/>
      <c r="V25" s="88" t="n">
        <v>2880000</v>
      </c>
    </row>
    <row r="26" customFormat="false" ht="30" hidden="false" customHeight="true" outlineLevel="1" collapsed="false">
      <c r="A26" s="70" t="n">
        <v>524114</v>
      </c>
      <c r="B26" s="71" t="s">
        <v>42</v>
      </c>
      <c r="C26" s="70"/>
      <c r="D26" s="70"/>
      <c r="E26" s="72"/>
      <c r="F26" s="73" t="n">
        <f aca="false">F28</f>
        <v>2040000</v>
      </c>
      <c r="G26" s="98"/>
      <c r="H26" s="99"/>
      <c r="I26" s="70" t="n">
        <v>524114</v>
      </c>
      <c r="J26" s="71" t="s">
        <v>42</v>
      </c>
      <c r="K26" s="70"/>
      <c r="L26" s="70"/>
      <c r="M26" s="72"/>
      <c r="N26" s="73" t="n">
        <f aca="false">N28</f>
        <v>2040000</v>
      </c>
      <c r="O26" s="76" t="n">
        <f aca="false">O28</f>
        <v>0</v>
      </c>
      <c r="P26" s="18"/>
      <c r="Q26" s="18"/>
      <c r="R26" s="18"/>
      <c r="S26" s="17"/>
      <c r="T26" s="18"/>
      <c r="V26" s="27" t="n">
        <v>2040000</v>
      </c>
    </row>
    <row r="27" customFormat="false" ht="30" hidden="false" customHeight="true" outlineLevel="1" collapsed="false">
      <c r="A27" s="70"/>
      <c r="B27" s="77" t="s">
        <v>32</v>
      </c>
      <c r="C27" s="70"/>
      <c r="D27" s="70"/>
      <c r="E27" s="72"/>
      <c r="F27" s="73"/>
      <c r="G27" s="98"/>
      <c r="H27" s="99"/>
      <c r="I27" s="70"/>
      <c r="J27" s="77" t="s">
        <v>32</v>
      </c>
      <c r="K27" s="70"/>
      <c r="L27" s="70"/>
      <c r="M27" s="72"/>
      <c r="N27" s="73"/>
      <c r="O27" s="76"/>
      <c r="P27" s="36"/>
      <c r="Q27" s="36"/>
      <c r="R27" s="36"/>
      <c r="S27" s="17"/>
      <c r="T27" s="18"/>
    </row>
    <row r="28" customFormat="false" ht="39.75" hidden="false" customHeight="true" outlineLevel="1" collapsed="false">
      <c r="A28" s="70"/>
      <c r="B28" s="77" t="s">
        <v>43</v>
      </c>
      <c r="C28" s="70" t="n">
        <v>1</v>
      </c>
      <c r="D28" s="70" t="s">
        <v>34</v>
      </c>
      <c r="E28" s="72" t="n">
        <v>2040000</v>
      </c>
      <c r="F28" s="73" t="n">
        <f aca="false">C28*E28</f>
        <v>2040000</v>
      </c>
      <c r="G28" s="98"/>
      <c r="H28" s="99"/>
      <c r="I28" s="70"/>
      <c r="J28" s="77" t="s">
        <v>43</v>
      </c>
      <c r="K28" s="70" t="n">
        <v>1</v>
      </c>
      <c r="L28" s="70" t="s">
        <v>34</v>
      </c>
      <c r="M28" s="72" t="n">
        <v>2040000</v>
      </c>
      <c r="N28" s="73" t="n">
        <f aca="false">K28*M28</f>
        <v>2040000</v>
      </c>
      <c r="O28" s="78"/>
      <c r="P28" s="18"/>
      <c r="Q28" s="18"/>
      <c r="R28" s="18"/>
      <c r="S28" s="17"/>
      <c r="T28" s="18"/>
      <c r="V28" s="88" t="n">
        <v>2040000</v>
      </c>
    </row>
    <row r="29" customFormat="false" ht="30" hidden="false" customHeight="true" outlineLevel="1" collapsed="false">
      <c r="A29" s="70" t="n">
        <v>524119</v>
      </c>
      <c r="B29" s="71" t="s">
        <v>44</v>
      </c>
      <c r="C29" s="70"/>
      <c r="D29" s="70"/>
      <c r="E29" s="72"/>
      <c r="F29" s="73" t="n">
        <f aca="false">F31</f>
        <v>259567000</v>
      </c>
      <c r="G29" s="98"/>
      <c r="H29" s="99"/>
      <c r="I29" s="70" t="n">
        <v>524119</v>
      </c>
      <c r="J29" s="71" t="s">
        <v>44</v>
      </c>
      <c r="K29" s="70"/>
      <c r="L29" s="70"/>
      <c r="M29" s="72"/>
      <c r="N29" s="73" t="n">
        <f aca="false">N31</f>
        <v>260671000</v>
      </c>
      <c r="O29" s="76" t="n">
        <f aca="false">O31</f>
        <v>0</v>
      </c>
      <c r="P29" s="18"/>
      <c r="Q29" s="18"/>
      <c r="R29" s="18"/>
      <c r="S29" s="17"/>
      <c r="T29" s="18"/>
      <c r="V29" s="27" t="n">
        <v>26561109</v>
      </c>
    </row>
    <row r="30" customFormat="false" ht="30" hidden="false" customHeight="true" outlineLevel="1" collapsed="false">
      <c r="A30" s="70"/>
      <c r="B30" s="77" t="s">
        <v>32</v>
      </c>
      <c r="C30" s="70"/>
      <c r="D30" s="70"/>
      <c r="E30" s="72"/>
      <c r="F30" s="73"/>
      <c r="G30" s="98"/>
      <c r="H30" s="99"/>
      <c r="I30" s="70"/>
      <c r="J30" s="77" t="s">
        <v>32</v>
      </c>
      <c r="K30" s="70"/>
      <c r="L30" s="70"/>
      <c r="M30" s="72"/>
      <c r="N30" s="73"/>
      <c r="O30" s="78"/>
      <c r="P30" s="18"/>
      <c r="Q30" s="18"/>
      <c r="R30" s="18"/>
      <c r="S30" s="17"/>
      <c r="T30" s="18"/>
    </row>
    <row r="31" customFormat="false" ht="30" hidden="false" customHeight="true" outlineLevel="1" collapsed="false">
      <c r="A31" s="79"/>
      <c r="B31" s="80" t="s">
        <v>43</v>
      </c>
      <c r="C31" s="79" t="n">
        <v>1</v>
      </c>
      <c r="D31" s="79" t="s">
        <v>34</v>
      </c>
      <c r="E31" s="100" t="n">
        <v>259567000</v>
      </c>
      <c r="F31" s="81" t="n">
        <f aca="false">C31*E31</f>
        <v>259567000</v>
      </c>
      <c r="G31" s="82"/>
      <c r="H31" s="83"/>
      <c r="I31" s="79"/>
      <c r="J31" s="80" t="s">
        <v>43</v>
      </c>
      <c r="K31" s="79" t="n">
        <v>1</v>
      </c>
      <c r="L31" s="79" t="s">
        <v>34</v>
      </c>
      <c r="M31" s="100" t="n">
        <v>260671000</v>
      </c>
      <c r="N31" s="81" t="n">
        <f aca="false">K31*M31</f>
        <v>260671000</v>
      </c>
      <c r="O31" s="84"/>
      <c r="P31" s="101"/>
      <c r="Q31" s="101" t="n">
        <f aca="false">F31-N31</f>
        <v>-1104000</v>
      </c>
      <c r="R31" s="101"/>
      <c r="S31" s="102"/>
      <c r="T31" s="52" t="n">
        <f aca="false">N31-F31</f>
        <v>1104000</v>
      </c>
      <c r="V31" s="88" t="n">
        <v>26561109</v>
      </c>
    </row>
    <row r="32" customFormat="false" ht="30" hidden="false" customHeight="true" outlineLevel="0" collapsed="false">
      <c r="A32" s="62" t="s">
        <v>45</v>
      </c>
      <c r="B32" s="63" t="s">
        <v>46</v>
      </c>
      <c r="C32" s="64"/>
      <c r="D32" s="64"/>
      <c r="E32" s="65"/>
      <c r="F32" s="66" t="n">
        <f aca="false">SUM(F33)</f>
        <v>326040000</v>
      </c>
      <c r="G32" s="67"/>
      <c r="H32" s="48"/>
      <c r="I32" s="62" t="s">
        <v>45</v>
      </c>
      <c r="J32" s="63" t="s">
        <v>46</v>
      </c>
      <c r="K32" s="64"/>
      <c r="L32" s="64"/>
      <c r="M32" s="65"/>
      <c r="N32" s="66" t="n">
        <f aca="false">SUM(N33)</f>
        <v>298584000</v>
      </c>
      <c r="O32" s="68" t="e">
        <f aca="false">SUM(#REF!)</f>
        <v>#REF!</v>
      </c>
      <c r="P32" s="16"/>
      <c r="Q32" s="16"/>
      <c r="R32" s="16"/>
      <c r="S32" s="103"/>
      <c r="T32" s="18"/>
      <c r="V32" s="27" t="n">
        <v>109136000</v>
      </c>
    </row>
    <row r="33" customFormat="false" ht="30" hidden="false" customHeight="true" outlineLevel="1" collapsed="false">
      <c r="A33" s="70" t="n">
        <v>521113</v>
      </c>
      <c r="B33" s="71" t="s">
        <v>47</v>
      </c>
      <c r="C33" s="70"/>
      <c r="D33" s="70"/>
      <c r="E33" s="72"/>
      <c r="F33" s="73" t="n">
        <f aca="false">F35</f>
        <v>326040000</v>
      </c>
      <c r="G33" s="98"/>
      <c r="H33" s="99"/>
      <c r="I33" s="70" t="n">
        <v>521113</v>
      </c>
      <c r="J33" s="71" t="s">
        <v>47</v>
      </c>
      <c r="K33" s="70"/>
      <c r="L33" s="70"/>
      <c r="M33" s="72"/>
      <c r="N33" s="73" t="n">
        <f aca="false">N35</f>
        <v>298584000</v>
      </c>
      <c r="O33" s="78"/>
      <c r="P33" s="18"/>
      <c r="Q33" s="18"/>
      <c r="R33" s="18"/>
      <c r="S33" s="103"/>
      <c r="T33" s="18"/>
      <c r="V33" s="27" t="n">
        <v>109136000</v>
      </c>
    </row>
    <row r="34" customFormat="false" ht="30" hidden="false" customHeight="true" outlineLevel="1" collapsed="false">
      <c r="A34" s="70"/>
      <c r="B34" s="77" t="s">
        <v>32</v>
      </c>
      <c r="C34" s="70"/>
      <c r="D34" s="70"/>
      <c r="E34" s="72"/>
      <c r="F34" s="73"/>
      <c r="G34" s="98"/>
      <c r="H34" s="99"/>
      <c r="I34" s="70"/>
      <c r="J34" s="77" t="s">
        <v>32</v>
      </c>
      <c r="K34" s="70" t="n">
        <f aca="false">65*22*12</f>
        <v>17160</v>
      </c>
      <c r="L34" s="70" t="n">
        <f aca="false">65*12</f>
        <v>780</v>
      </c>
      <c r="M34" s="104"/>
      <c r="N34" s="73"/>
      <c r="O34" s="78" t="n">
        <f aca="false">N35-O35</f>
        <v>544000</v>
      </c>
      <c r="P34" s="18"/>
      <c r="Q34" s="18"/>
      <c r="R34" s="18"/>
      <c r="S34" s="103"/>
      <c r="T34" s="18"/>
    </row>
    <row r="35" customFormat="false" ht="39.75" hidden="false" customHeight="true" outlineLevel="1" collapsed="false">
      <c r="A35" s="79"/>
      <c r="B35" s="80" t="s">
        <v>48</v>
      </c>
      <c r="C35" s="79" t="n">
        <f aca="false">65*22*12</f>
        <v>17160</v>
      </c>
      <c r="D35" s="79" t="s">
        <v>49</v>
      </c>
      <c r="E35" s="100" t="n">
        <v>19000</v>
      </c>
      <c r="F35" s="81" t="n">
        <f aca="false">E35*C35</f>
        <v>326040000</v>
      </c>
      <c r="G35" s="82"/>
      <c r="H35" s="83"/>
      <c r="I35" s="79"/>
      <c r="J35" s="80" t="s">
        <v>48</v>
      </c>
      <c r="K35" s="79" t="n">
        <v>17160</v>
      </c>
      <c r="L35" s="79" t="s">
        <v>49</v>
      </c>
      <c r="M35" s="100" t="n">
        <v>17400</v>
      </c>
      <c r="N35" s="81" t="n">
        <f aca="false">M35*K35</f>
        <v>298584000</v>
      </c>
      <c r="O35" s="84" t="n">
        <f aca="false">F35-28000000</f>
        <v>298040000</v>
      </c>
      <c r="P35" s="105"/>
      <c r="Q35" s="105"/>
      <c r="R35" s="85" t="n">
        <f aca="false">F35-N35</f>
        <v>27456000</v>
      </c>
      <c r="S35" s="103"/>
      <c r="T35" s="52" t="n">
        <f aca="false">N35-F35</f>
        <v>-27456000</v>
      </c>
      <c r="V35" s="88" t="n">
        <v>109136000</v>
      </c>
    </row>
    <row r="36" customFormat="false" ht="30" hidden="false" customHeight="true" outlineLevel="0" collapsed="false">
      <c r="A36" s="55" t="n">
        <v>102</v>
      </c>
      <c r="B36" s="56" t="s">
        <v>50</v>
      </c>
      <c r="C36" s="55"/>
      <c r="D36" s="55"/>
      <c r="E36" s="57"/>
      <c r="F36" s="57" t="n">
        <f aca="false">SUM(F37)</f>
        <v>11000000</v>
      </c>
      <c r="G36" s="59" t="s">
        <v>51</v>
      </c>
      <c r="H36" s="60"/>
      <c r="I36" s="55" t="n">
        <v>102</v>
      </c>
      <c r="J36" s="56" t="s">
        <v>50</v>
      </c>
      <c r="K36" s="55"/>
      <c r="L36" s="55"/>
      <c r="M36" s="57"/>
      <c r="N36" s="57" t="n">
        <f aca="false">SUM(N37)</f>
        <v>11000000</v>
      </c>
      <c r="O36" s="61"/>
      <c r="P36" s="16"/>
      <c r="Q36" s="16"/>
      <c r="R36" s="16"/>
      <c r="S36" s="17"/>
      <c r="T36" s="18"/>
      <c r="V36" s="27" t="n">
        <v>142000</v>
      </c>
    </row>
    <row r="37" customFormat="false" ht="30" hidden="false" customHeight="true" outlineLevel="0" collapsed="false">
      <c r="A37" s="62" t="s">
        <v>29</v>
      </c>
      <c r="B37" s="63" t="s">
        <v>52</v>
      </c>
      <c r="C37" s="64"/>
      <c r="D37" s="64"/>
      <c r="E37" s="65"/>
      <c r="F37" s="66" t="n">
        <f aca="false">SUM(F38)</f>
        <v>11000000</v>
      </c>
      <c r="G37" s="67"/>
      <c r="H37" s="48"/>
      <c r="I37" s="62" t="s">
        <v>29</v>
      </c>
      <c r="J37" s="63" t="s">
        <v>52</v>
      </c>
      <c r="K37" s="64"/>
      <c r="L37" s="64"/>
      <c r="M37" s="65"/>
      <c r="N37" s="66" t="n">
        <f aca="false">SUM(N38)</f>
        <v>11000000</v>
      </c>
      <c r="O37" s="68"/>
      <c r="P37" s="16"/>
      <c r="Q37" s="16"/>
      <c r="R37" s="16"/>
      <c r="S37" s="106"/>
      <c r="T37" s="18"/>
      <c r="V37" s="27" t="n">
        <v>142000</v>
      </c>
    </row>
    <row r="38" customFormat="false" ht="30" hidden="false" customHeight="true" outlineLevel="1" collapsed="false">
      <c r="A38" s="70" t="n">
        <v>521119</v>
      </c>
      <c r="B38" s="71" t="s">
        <v>53</v>
      </c>
      <c r="C38" s="70"/>
      <c r="D38" s="70"/>
      <c r="E38" s="72"/>
      <c r="F38" s="73" t="n">
        <f aca="false">SUM(F40:F40)</f>
        <v>11000000</v>
      </c>
      <c r="G38" s="74"/>
      <c r="H38" s="75"/>
      <c r="I38" s="70" t="n">
        <v>521119</v>
      </c>
      <c r="J38" s="71" t="s">
        <v>53</v>
      </c>
      <c r="K38" s="70"/>
      <c r="L38" s="70"/>
      <c r="M38" s="72"/>
      <c r="N38" s="73" t="n">
        <f aca="false">SUM(N40:N40)</f>
        <v>11000000</v>
      </c>
      <c r="O38" s="78"/>
      <c r="P38" s="18"/>
      <c r="Q38" s="18"/>
      <c r="R38" s="18"/>
      <c r="S38" s="106"/>
      <c r="T38" s="18"/>
      <c r="V38" s="27" t="n">
        <v>142000</v>
      </c>
    </row>
    <row r="39" customFormat="false" ht="30" hidden="false" customHeight="true" outlineLevel="1" collapsed="false">
      <c r="A39" s="70"/>
      <c r="B39" s="77" t="s">
        <v>32</v>
      </c>
      <c r="C39" s="70"/>
      <c r="D39" s="70"/>
      <c r="E39" s="72"/>
      <c r="F39" s="73"/>
      <c r="G39" s="74"/>
      <c r="H39" s="75"/>
      <c r="I39" s="70"/>
      <c r="J39" s="77" t="s">
        <v>32</v>
      </c>
      <c r="K39" s="70"/>
      <c r="L39" s="70"/>
      <c r="M39" s="72"/>
      <c r="N39" s="73"/>
      <c r="O39" s="78"/>
      <c r="P39" s="18"/>
      <c r="Q39" s="18"/>
      <c r="R39" s="18"/>
      <c r="S39" s="106"/>
      <c r="T39" s="18"/>
    </row>
    <row r="40" customFormat="false" ht="30" hidden="false" customHeight="true" outlineLevel="1" collapsed="false">
      <c r="A40" s="70"/>
      <c r="B40" s="77" t="s">
        <v>54</v>
      </c>
      <c r="C40" s="70" t="n">
        <v>1</v>
      </c>
      <c r="D40" s="70" t="s">
        <v>55</v>
      </c>
      <c r="E40" s="72" t="n">
        <v>11000000</v>
      </c>
      <c r="F40" s="73" t="n">
        <f aca="false">E40*C40</f>
        <v>11000000</v>
      </c>
      <c r="G40" s="74"/>
      <c r="H40" s="75"/>
      <c r="I40" s="70"/>
      <c r="J40" s="77" t="s">
        <v>54</v>
      </c>
      <c r="K40" s="70" t="n">
        <v>1</v>
      </c>
      <c r="L40" s="70" t="s">
        <v>55</v>
      </c>
      <c r="M40" s="72" t="n">
        <v>11000000</v>
      </c>
      <c r="N40" s="73" t="n">
        <f aca="false">M40*K40</f>
        <v>11000000</v>
      </c>
      <c r="O40" s="78"/>
      <c r="P40" s="18"/>
      <c r="Q40" s="18"/>
      <c r="R40" s="18"/>
      <c r="S40" s="106"/>
      <c r="T40" s="18"/>
      <c r="V40" s="88" t="n">
        <v>142000</v>
      </c>
    </row>
    <row r="41" customFormat="false" ht="30" hidden="false" customHeight="true" outlineLevel="0" collapsed="false">
      <c r="A41" s="55" t="n">
        <v>103</v>
      </c>
      <c r="B41" s="56" t="s">
        <v>35</v>
      </c>
      <c r="C41" s="55"/>
      <c r="D41" s="55"/>
      <c r="E41" s="57"/>
      <c r="F41" s="57" t="n">
        <f aca="false">F42+F46+F74+F85+F100+F107+F115+F124+F131+F150+F158+F186+F194+F203</f>
        <v>1093295000</v>
      </c>
      <c r="G41" s="59" t="s">
        <v>51</v>
      </c>
      <c r="H41" s="60"/>
      <c r="I41" s="55" t="n">
        <v>103</v>
      </c>
      <c r="J41" s="56" t="s">
        <v>35</v>
      </c>
      <c r="K41" s="55"/>
      <c r="L41" s="55"/>
      <c r="M41" s="57"/>
      <c r="N41" s="57" t="n">
        <f aca="false">N42+N46+N74+N85+N100+N107+N115+N124+N131+N150+N158+N186+N194+N203</f>
        <v>1186647000</v>
      </c>
      <c r="O41" s="61"/>
      <c r="P41" s="16"/>
      <c r="Q41" s="16"/>
      <c r="R41" s="16"/>
      <c r="S41" s="17"/>
      <c r="T41" s="18"/>
      <c r="V41" s="27" t="n">
        <v>602490394</v>
      </c>
    </row>
    <row r="42" customFormat="false" ht="30" hidden="false" customHeight="true" outlineLevel="0" collapsed="false">
      <c r="A42" s="62" t="s">
        <v>29</v>
      </c>
      <c r="B42" s="63" t="s">
        <v>56</v>
      </c>
      <c r="C42" s="64"/>
      <c r="D42" s="64"/>
      <c r="E42" s="65"/>
      <c r="F42" s="66" t="n">
        <f aca="false">SUM(F43)</f>
        <v>56832000</v>
      </c>
      <c r="G42" s="67"/>
      <c r="H42" s="48"/>
      <c r="I42" s="62" t="s">
        <v>29</v>
      </c>
      <c r="J42" s="63" t="s">
        <v>56</v>
      </c>
      <c r="K42" s="64"/>
      <c r="L42" s="64"/>
      <c r="M42" s="65"/>
      <c r="N42" s="66" t="n">
        <f aca="false">SUM(N43)</f>
        <v>77040000</v>
      </c>
      <c r="O42" s="68"/>
      <c r="P42" s="16"/>
      <c r="Q42" s="16"/>
      <c r="R42" s="16"/>
      <c r="S42" s="106"/>
      <c r="T42" s="18"/>
      <c r="V42" s="27" t="n">
        <v>3911800</v>
      </c>
    </row>
    <row r="43" customFormat="false" ht="30" hidden="false" customHeight="true" outlineLevel="1" collapsed="false">
      <c r="A43" s="70" t="n">
        <v>523121</v>
      </c>
      <c r="B43" s="71" t="s">
        <v>57</v>
      </c>
      <c r="C43" s="70"/>
      <c r="D43" s="70"/>
      <c r="E43" s="72"/>
      <c r="F43" s="73" t="n">
        <f aca="false">SUM(F45:F45)</f>
        <v>56832000</v>
      </c>
      <c r="G43" s="74"/>
      <c r="H43" s="75"/>
      <c r="I43" s="70" t="n">
        <v>523121</v>
      </c>
      <c r="J43" s="71" t="s">
        <v>57</v>
      </c>
      <c r="K43" s="70"/>
      <c r="L43" s="70"/>
      <c r="M43" s="72"/>
      <c r="N43" s="73" t="n">
        <f aca="false">SUM(N45:N45)</f>
        <v>77040000</v>
      </c>
      <c r="O43" s="78"/>
      <c r="P43" s="18"/>
      <c r="Q43" s="18"/>
      <c r="R43" s="18"/>
      <c r="S43" s="106"/>
      <c r="T43" s="18"/>
      <c r="V43" s="27" t="n">
        <v>3911800</v>
      </c>
    </row>
    <row r="44" customFormat="false" ht="30" hidden="false" customHeight="true" outlineLevel="1" collapsed="false">
      <c r="A44" s="70"/>
      <c r="B44" s="77" t="s">
        <v>32</v>
      </c>
      <c r="C44" s="70"/>
      <c r="D44" s="70"/>
      <c r="E44" s="72"/>
      <c r="F44" s="73"/>
      <c r="G44" s="74"/>
      <c r="H44" s="75"/>
      <c r="I44" s="70"/>
      <c r="J44" s="77" t="s">
        <v>32</v>
      </c>
      <c r="K44" s="70"/>
      <c r="L44" s="70"/>
      <c r="M44" s="72"/>
      <c r="N44" s="73"/>
      <c r="O44" s="78"/>
      <c r="P44" s="18"/>
      <c r="Q44" s="18"/>
      <c r="R44" s="18"/>
      <c r="S44" s="106"/>
      <c r="T44" s="18"/>
    </row>
    <row r="45" customFormat="false" ht="30" hidden="false" customHeight="true" outlineLevel="1" collapsed="false">
      <c r="A45" s="107"/>
      <c r="B45" s="108" t="s">
        <v>58</v>
      </c>
      <c r="C45" s="107" t="n">
        <f aca="false">80*4*12</f>
        <v>3840</v>
      </c>
      <c r="D45" s="107" t="s">
        <v>59</v>
      </c>
      <c r="E45" s="109" t="n">
        <v>14800</v>
      </c>
      <c r="F45" s="110" t="n">
        <f aca="false">E45*C45</f>
        <v>56832000</v>
      </c>
      <c r="G45" s="111"/>
      <c r="H45" s="112"/>
      <c r="I45" s="107"/>
      <c r="J45" s="108" t="s">
        <v>60</v>
      </c>
      <c r="K45" s="107" t="n">
        <f aca="false">107*4*12</f>
        <v>5136</v>
      </c>
      <c r="L45" s="107" t="s">
        <v>59</v>
      </c>
      <c r="M45" s="109" t="n">
        <v>15000</v>
      </c>
      <c r="N45" s="110" t="n">
        <f aca="false">M45*K45</f>
        <v>77040000</v>
      </c>
      <c r="O45" s="113"/>
      <c r="P45" s="114"/>
      <c r="Q45" s="114"/>
      <c r="R45" s="115" t="n">
        <f aca="false">F45-N45</f>
        <v>-20208000</v>
      </c>
      <c r="S45" s="106"/>
      <c r="T45" s="52" t="n">
        <f aca="false">N45-F45</f>
        <v>20208000</v>
      </c>
      <c r="V45" s="88" t="n">
        <v>3911800</v>
      </c>
    </row>
    <row r="46" customFormat="false" ht="30" hidden="false" customHeight="true" outlineLevel="0" collapsed="false">
      <c r="A46" s="62" t="s">
        <v>61</v>
      </c>
      <c r="B46" s="63" t="s">
        <v>62</v>
      </c>
      <c r="C46" s="64"/>
      <c r="D46" s="64"/>
      <c r="E46" s="65"/>
      <c r="F46" s="66" t="n">
        <f aca="false">SUM(F47,F52,F57,F63,F66,F70)</f>
        <v>87657000</v>
      </c>
      <c r="G46" s="67"/>
      <c r="H46" s="48"/>
      <c r="I46" s="62" t="s">
        <v>61</v>
      </c>
      <c r="J46" s="63" t="s">
        <v>62</v>
      </c>
      <c r="K46" s="64"/>
      <c r="L46" s="64"/>
      <c r="M46" s="65"/>
      <c r="N46" s="66" t="n">
        <f aca="false">SUM(N47,N52,N57,N63,N66,N70)</f>
        <v>82665000</v>
      </c>
      <c r="O46" s="68" t="n">
        <f aca="false">SUM(O70)</f>
        <v>0</v>
      </c>
      <c r="P46" s="16"/>
      <c r="Q46" s="16"/>
      <c r="R46" s="16"/>
      <c r="S46" s="116" t="s">
        <v>63</v>
      </c>
      <c r="T46" s="18"/>
      <c r="V46" s="27" t="n">
        <v>7558000</v>
      </c>
    </row>
    <row r="47" customFormat="false" ht="30" hidden="false" customHeight="true" outlineLevel="1" collapsed="false">
      <c r="A47" s="70" t="n">
        <v>521119</v>
      </c>
      <c r="B47" s="71" t="s">
        <v>53</v>
      </c>
      <c r="C47" s="70"/>
      <c r="D47" s="70"/>
      <c r="E47" s="72"/>
      <c r="F47" s="73" t="n">
        <f aca="false">SUM(F49:F51)</f>
        <v>12450000</v>
      </c>
      <c r="G47" s="74"/>
      <c r="H47" s="75"/>
      <c r="I47" s="70" t="n">
        <v>521119</v>
      </c>
      <c r="J47" s="71" t="s">
        <v>53</v>
      </c>
      <c r="K47" s="70"/>
      <c r="L47" s="70"/>
      <c r="M47" s="72"/>
      <c r="N47" s="73" t="n">
        <f aca="false">SUM(N49:N51)</f>
        <v>12450000</v>
      </c>
      <c r="O47" s="78"/>
      <c r="P47" s="18"/>
      <c r="Q47" s="18"/>
      <c r="R47" s="18"/>
      <c r="S47" s="116"/>
      <c r="T47" s="18"/>
      <c r="V47" s="27" t="n">
        <v>206000</v>
      </c>
    </row>
    <row r="48" customFormat="false" ht="30" hidden="false" customHeight="true" outlineLevel="1" collapsed="false">
      <c r="A48" s="70"/>
      <c r="B48" s="77" t="s">
        <v>32</v>
      </c>
      <c r="C48" s="70"/>
      <c r="D48" s="70"/>
      <c r="E48" s="72"/>
      <c r="F48" s="73"/>
      <c r="G48" s="74"/>
      <c r="H48" s="75"/>
      <c r="I48" s="70"/>
      <c r="J48" s="77" t="s">
        <v>32</v>
      </c>
      <c r="K48" s="70"/>
      <c r="L48" s="70"/>
      <c r="M48" s="72"/>
      <c r="N48" s="73"/>
      <c r="O48" s="78"/>
      <c r="P48" s="18"/>
      <c r="Q48" s="18"/>
      <c r="R48" s="18"/>
      <c r="S48" s="116"/>
      <c r="T48" s="18"/>
    </row>
    <row r="49" customFormat="false" ht="30" hidden="false" customHeight="true" outlineLevel="1" collapsed="false">
      <c r="A49" s="70"/>
      <c r="B49" s="77" t="s">
        <v>64</v>
      </c>
      <c r="C49" s="70" t="n">
        <f aca="false">75*1</f>
        <v>75</v>
      </c>
      <c r="D49" s="70" t="s">
        <v>49</v>
      </c>
      <c r="E49" s="72" t="n">
        <v>23000</v>
      </c>
      <c r="F49" s="73" t="n">
        <f aca="false">E49*C49</f>
        <v>1725000</v>
      </c>
      <c r="G49" s="74"/>
      <c r="H49" s="75"/>
      <c r="I49" s="70"/>
      <c r="J49" s="77" t="s">
        <v>64</v>
      </c>
      <c r="K49" s="70" t="n">
        <f aca="false">75*1</f>
        <v>75</v>
      </c>
      <c r="L49" s="70" t="s">
        <v>49</v>
      </c>
      <c r="M49" s="72" t="n">
        <v>23000</v>
      </c>
      <c r="N49" s="73" t="n">
        <f aca="false">M49*K49</f>
        <v>1725000</v>
      </c>
      <c r="O49" s="78"/>
      <c r="P49" s="18"/>
      <c r="Q49" s="18"/>
      <c r="R49" s="18"/>
      <c r="S49" s="116"/>
      <c r="T49" s="18"/>
      <c r="V49" s="88" t="n">
        <v>31000</v>
      </c>
    </row>
    <row r="50" customFormat="false" ht="30" hidden="false" customHeight="true" outlineLevel="1" collapsed="false">
      <c r="A50" s="70"/>
      <c r="B50" s="77" t="s">
        <v>65</v>
      </c>
      <c r="C50" s="70" t="n">
        <f aca="false">75*1</f>
        <v>75</v>
      </c>
      <c r="D50" s="70" t="s">
        <v>49</v>
      </c>
      <c r="E50" s="72" t="n">
        <v>28000</v>
      </c>
      <c r="F50" s="73" t="n">
        <f aca="false">E50*C50</f>
        <v>2100000</v>
      </c>
      <c r="G50" s="74"/>
      <c r="H50" s="75"/>
      <c r="I50" s="70"/>
      <c r="J50" s="77" t="s">
        <v>65</v>
      </c>
      <c r="K50" s="70" t="n">
        <f aca="false">75*1</f>
        <v>75</v>
      </c>
      <c r="L50" s="70" t="s">
        <v>49</v>
      </c>
      <c r="M50" s="72" t="n">
        <v>28000</v>
      </c>
      <c r="N50" s="73" t="n">
        <f aca="false">M50*K50</f>
        <v>2100000</v>
      </c>
      <c r="O50" s="78"/>
      <c r="P50" s="18"/>
      <c r="Q50" s="18"/>
      <c r="R50" s="18"/>
      <c r="S50" s="116"/>
      <c r="T50" s="18"/>
      <c r="V50" s="88" t="n">
        <v>175000</v>
      </c>
    </row>
    <row r="51" customFormat="false" ht="30" hidden="false" customHeight="true" outlineLevel="1" collapsed="false">
      <c r="A51" s="70"/>
      <c r="B51" s="77" t="s">
        <v>66</v>
      </c>
      <c r="C51" s="70" t="n">
        <f aca="false">15*1</f>
        <v>15</v>
      </c>
      <c r="D51" s="70" t="s">
        <v>49</v>
      </c>
      <c r="E51" s="72" t="n">
        <v>575000</v>
      </c>
      <c r="F51" s="73" t="n">
        <f aca="false">E51*C51</f>
        <v>8625000</v>
      </c>
      <c r="G51" s="74"/>
      <c r="H51" s="75"/>
      <c r="I51" s="70"/>
      <c r="J51" s="77" t="s">
        <v>66</v>
      </c>
      <c r="K51" s="70" t="n">
        <f aca="false">15*1</f>
        <v>15</v>
      </c>
      <c r="L51" s="70" t="s">
        <v>49</v>
      </c>
      <c r="M51" s="72" t="n">
        <v>575000</v>
      </c>
      <c r="N51" s="73" t="n">
        <f aca="false">M51*K51</f>
        <v>8625000</v>
      </c>
      <c r="O51" s="78"/>
      <c r="P51" s="18"/>
      <c r="Q51" s="18"/>
      <c r="R51" s="18"/>
      <c r="S51" s="116"/>
      <c r="T51" s="18"/>
      <c r="V51" s="88" t="n">
        <v>0</v>
      </c>
    </row>
    <row r="52" customFormat="false" ht="30" hidden="false" customHeight="true" outlineLevel="1" collapsed="false">
      <c r="A52" s="70" t="n">
        <v>521211</v>
      </c>
      <c r="B52" s="71" t="s">
        <v>67</v>
      </c>
      <c r="C52" s="70"/>
      <c r="D52" s="70"/>
      <c r="E52" s="72"/>
      <c r="F52" s="73" t="n">
        <f aca="false">SUM(F54:F56)</f>
        <v>22800000</v>
      </c>
      <c r="G52" s="74"/>
      <c r="H52" s="75"/>
      <c r="I52" s="70" t="n">
        <v>521211</v>
      </c>
      <c r="J52" s="71" t="s">
        <v>67</v>
      </c>
      <c r="K52" s="70"/>
      <c r="L52" s="70"/>
      <c r="M52" s="72"/>
      <c r="N52" s="73" t="n">
        <f aca="false">SUM(N54:N56)</f>
        <v>22800000</v>
      </c>
      <c r="O52" s="76" t="n">
        <f aca="false">SUM(O54:O56)</f>
        <v>0</v>
      </c>
      <c r="P52" s="18"/>
      <c r="Q52" s="18"/>
      <c r="R52" s="18"/>
      <c r="S52" s="116"/>
      <c r="T52" s="18"/>
      <c r="V52" s="27" t="n">
        <v>1888000</v>
      </c>
    </row>
    <row r="53" customFormat="false" ht="30" hidden="false" customHeight="true" outlineLevel="1" collapsed="false">
      <c r="A53" s="70"/>
      <c r="B53" s="77" t="s">
        <v>32</v>
      </c>
      <c r="C53" s="70"/>
      <c r="D53" s="70"/>
      <c r="E53" s="72"/>
      <c r="F53" s="73"/>
      <c r="G53" s="74"/>
      <c r="H53" s="75"/>
      <c r="I53" s="70"/>
      <c r="J53" s="77" t="s">
        <v>32</v>
      </c>
      <c r="K53" s="70"/>
      <c r="L53" s="70"/>
      <c r="M53" s="72"/>
      <c r="N53" s="73"/>
      <c r="O53" s="78"/>
      <c r="P53" s="18"/>
      <c r="Q53" s="18"/>
      <c r="R53" s="18"/>
      <c r="S53" s="116"/>
      <c r="T53" s="18"/>
    </row>
    <row r="54" customFormat="false" ht="30" hidden="false" customHeight="true" outlineLevel="1" collapsed="false">
      <c r="A54" s="89"/>
      <c r="B54" s="90" t="s">
        <v>68</v>
      </c>
      <c r="C54" s="89" t="n">
        <v>12</v>
      </c>
      <c r="D54" s="89" t="s">
        <v>69</v>
      </c>
      <c r="E54" s="96" t="n">
        <v>300000</v>
      </c>
      <c r="F54" s="91" t="n">
        <f aca="false">E54*C54</f>
        <v>3600000</v>
      </c>
      <c r="G54" s="117"/>
      <c r="H54" s="118"/>
      <c r="I54" s="89"/>
      <c r="J54" s="90" t="s">
        <v>68</v>
      </c>
      <c r="K54" s="89" t="n">
        <v>12</v>
      </c>
      <c r="L54" s="89" t="s">
        <v>69</v>
      </c>
      <c r="M54" s="96" t="n">
        <v>300000</v>
      </c>
      <c r="N54" s="91" t="n">
        <f aca="false">M54*K54</f>
        <v>3600000</v>
      </c>
      <c r="O54" s="119"/>
      <c r="P54" s="95"/>
      <c r="Q54" s="95"/>
      <c r="R54" s="95"/>
      <c r="S54" s="116"/>
      <c r="T54" s="16"/>
      <c r="V54" s="88" t="n">
        <v>1888000</v>
      </c>
    </row>
    <row r="55" customFormat="false" ht="30" hidden="false" customHeight="true" outlineLevel="1" collapsed="false">
      <c r="A55" s="89"/>
      <c r="B55" s="90" t="s">
        <v>70</v>
      </c>
      <c r="C55" s="89" t="n">
        <f aca="false">2*1</f>
        <v>2</v>
      </c>
      <c r="D55" s="89" t="s">
        <v>71</v>
      </c>
      <c r="E55" s="96" t="n">
        <v>600000</v>
      </c>
      <c r="F55" s="91" t="n">
        <f aca="false">E55*C55</f>
        <v>1200000</v>
      </c>
      <c r="G55" s="117"/>
      <c r="H55" s="118"/>
      <c r="I55" s="89"/>
      <c r="J55" s="90" t="s">
        <v>70</v>
      </c>
      <c r="K55" s="89" t="n">
        <f aca="false">2*1</f>
        <v>2</v>
      </c>
      <c r="L55" s="89" t="s">
        <v>71</v>
      </c>
      <c r="M55" s="96" t="n">
        <v>600000</v>
      </c>
      <c r="N55" s="91" t="n">
        <f aca="false">M55*K55</f>
        <v>1200000</v>
      </c>
      <c r="O55" s="119"/>
      <c r="P55" s="95"/>
      <c r="Q55" s="95"/>
      <c r="R55" s="95"/>
      <c r="S55" s="116"/>
      <c r="T55" s="16"/>
      <c r="V55" s="88" t="n">
        <v>0</v>
      </c>
    </row>
    <row r="56" customFormat="false" ht="30" hidden="false" customHeight="true" outlineLevel="1" collapsed="false">
      <c r="A56" s="89"/>
      <c r="B56" s="90" t="s">
        <v>72</v>
      </c>
      <c r="C56" s="89" t="n">
        <f aca="false">60*1</f>
        <v>60</v>
      </c>
      <c r="D56" s="89" t="s">
        <v>49</v>
      </c>
      <c r="E56" s="96" t="n">
        <v>300000</v>
      </c>
      <c r="F56" s="91" t="n">
        <f aca="false">E56*C56</f>
        <v>18000000</v>
      </c>
      <c r="G56" s="117"/>
      <c r="H56" s="118"/>
      <c r="I56" s="89"/>
      <c r="J56" s="90" t="s">
        <v>72</v>
      </c>
      <c r="K56" s="89" t="n">
        <f aca="false">60*1</f>
        <v>60</v>
      </c>
      <c r="L56" s="89" t="s">
        <v>49</v>
      </c>
      <c r="M56" s="96" t="n">
        <v>300000</v>
      </c>
      <c r="N56" s="91" t="n">
        <f aca="false">M56*K56</f>
        <v>18000000</v>
      </c>
      <c r="O56" s="119"/>
      <c r="P56" s="95"/>
      <c r="Q56" s="95"/>
      <c r="R56" s="95"/>
      <c r="S56" s="116"/>
      <c r="T56" s="16"/>
      <c r="V56" s="88" t="n">
        <v>0</v>
      </c>
    </row>
    <row r="57" customFormat="false" ht="30" hidden="false" customHeight="true" outlineLevel="1" collapsed="false">
      <c r="A57" s="70" t="n">
        <v>521219</v>
      </c>
      <c r="B57" s="71" t="s">
        <v>73</v>
      </c>
      <c r="C57" s="70"/>
      <c r="D57" s="70"/>
      <c r="E57" s="72"/>
      <c r="F57" s="73" t="n">
        <f aca="false">SUM(F59:F62)</f>
        <v>9446000</v>
      </c>
      <c r="G57" s="74"/>
      <c r="H57" s="75"/>
      <c r="I57" s="70" t="n">
        <v>521219</v>
      </c>
      <c r="J57" s="71" t="s">
        <v>73</v>
      </c>
      <c r="K57" s="70"/>
      <c r="L57" s="70"/>
      <c r="M57" s="72"/>
      <c r="N57" s="73" t="n">
        <f aca="false">SUM(N59:N62)</f>
        <v>4454000</v>
      </c>
      <c r="O57" s="76" t="n">
        <f aca="false">SUM(O60:O62)</f>
        <v>0</v>
      </c>
      <c r="P57" s="18"/>
      <c r="Q57" s="18"/>
      <c r="R57" s="18"/>
      <c r="S57" s="116"/>
      <c r="T57" s="18"/>
      <c r="V57" s="27" t="n">
        <v>5464000</v>
      </c>
    </row>
    <row r="58" customFormat="false" ht="30" hidden="false" customHeight="true" outlineLevel="1" collapsed="false">
      <c r="A58" s="70"/>
      <c r="B58" s="77" t="s">
        <v>32</v>
      </c>
      <c r="C58" s="70"/>
      <c r="D58" s="70"/>
      <c r="E58" s="72"/>
      <c r="F58" s="73"/>
      <c r="G58" s="74"/>
      <c r="H58" s="75"/>
      <c r="I58" s="70"/>
      <c r="J58" s="77" t="s">
        <v>32</v>
      </c>
      <c r="K58" s="70"/>
      <c r="L58" s="70"/>
      <c r="M58" s="72"/>
      <c r="N58" s="73"/>
      <c r="O58" s="78"/>
      <c r="P58" s="18"/>
      <c r="Q58" s="18"/>
      <c r="R58" s="18"/>
      <c r="S58" s="116"/>
      <c r="T58" s="18"/>
    </row>
    <row r="59" customFormat="false" ht="30" hidden="false" customHeight="true" outlineLevel="1" collapsed="false">
      <c r="A59" s="89"/>
      <c r="B59" s="90" t="s">
        <v>74</v>
      </c>
      <c r="C59" s="89" t="n">
        <v>1</v>
      </c>
      <c r="D59" s="89" t="s">
        <v>55</v>
      </c>
      <c r="E59" s="96" t="n">
        <v>1382000</v>
      </c>
      <c r="F59" s="91" t="n">
        <f aca="false">E59*C59</f>
        <v>1382000</v>
      </c>
      <c r="G59" s="117" t="s">
        <v>39</v>
      </c>
      <c r="H59" s="118"/>
      <c r="I59" s="89"/>
      <c r="J59" s="90" t="s">
        <v>74</v>
      </c>
      <c r="K59" s="89" t="n">
        <v>1</v>
      </c>
      <c r="L59" s="89" t="s">
        <v>55</v>
      </c>
      <c r="M59" s="96" t="n">
        <v>1382000</v>
      </c>
      <c r="N59" s="91" t="n">
        <f aca="false">M59*K59</f>
        <v>1382000</v>
      </c>
      <c r="O59" s="119"/>
      <c r="P59" s="120" t="n">
        <v>1382000</v>
      </c>
      <c r="Q59" s="95"/>
      <c r="R59" s="95"/>
      <c r="S59" s="116"/>
      <c r="T59" s="16"/>
      <c r="V59" s="88" t="n">
        <v>0</v>
      </c>
    </row>
    <row r="60" customFormat="false" ht="30" hidden="false" customHeight="true" outlineLevel="1" collapsed="false">
      <c r="A60" s="79"/>
      <c r="B60" s="80" t="s">
        <v>75</v>
      </c>
      <c r="C60" s="79" t="n">
        <f aca="false">50*1*3*1</f>
        <v>150</v>
      </c>
      <c r="D60" s="79" t="s">
        <v>76</v>
      </c>
      <c r="E60" s="100" t="n">
        <v>12800</v>
      </c>
      <c r="F60" s="81" t="n">
        <f aca="false">E60*C60</f>
        <v>1920000</v>
      </c>
      <c r="G60" s="121"/>
      <c r="H60" s="122"/>
      <c r="I60" s="79"/>
      <c r="J60" s="80" t="s">
        <v>75</v>
      </c>
      <c r="K60" s="79" t="n">
        <f aca="false">0*1*3*1</f>
        <v>0</v>
      </c>
      <c r="L60" s="79" t="s">
        <v>76</v>
      </c>
      <c r="M60" s="100" t="n">
        <v>12800</v>
      </c>
      <c r="N60" s="81" t="n">
        <f aca="false">M60*K60</f>
        <v>0</v>
      </c>
      <c r="O60" s="123"/>
      <c r="P60" s="101"/>
      <c r="Q60" s="101"/>
      <c r="R60" s="124" t="n">
        <f aca="false">F60-N60</f>
        <v>1920000</v>
      </c>
      <c r="S60" s="116"/>
      <c r="T60" s="52" t="n">
        <f aca="false">N60-F60</f>
        <v>-1920000</v>
      </c>
      <c r="V60" s="88" t="n">
        <v>1920000</v>
      </c>
    </row>
    <row r="61" customFormat="false" ht="30" hidden="false" customHeight="true" outlineLevel="1" collapsed="false">
      <c r="A61" s="79"/>
      <c r="B61" s="80" t="s">
        <v>77</v>
      </c>
      <c r="C61" s="79" t="n">
        <f aca="false">40*1*3*2</f>
        <v>240</v>
      </c>
      <c r="D61" s="79" t="s">
        <v>76</v>
      </c>
      <c r="E61" s="100" t="n">
        <v>12800</v>
      </c>
      <c r="F61" s="81" t="n">
        <f aca="false">E61*C61</f>
        <v>3072000</v>
      </c>
      <c r="G61" s="121"/>
      <c r="H61" s="122"/>
      <c r="I61" s="79"/>
      <c r="J61" s="80" t="s">
        <v>77</v>
      </c>
      <c r="K61" s="79" t="n">
        <v>0</v>
      </c>
      <c r="L61" s="79" t="s">
        <v>76</v>
      </c>
      <c r="M61" s="100" t="n">
        <v>12800</v>
      </c>
      <c r="N61" s="81" t="n">
        <f aca="false">M61*K61</f>
        <v>0</v>
      </c>
      <c r="O61" s="123"/>
      <c r="P61" s="101"/>
      <c r="Q61" s="101"/>
      <c r="R61" s="124" t="n">
        <f aca="false">F61-N61</f>
        <v>3072000</v>
      </c>
      <c r="S61" s="116"/>
      <c r="T61" s="52" t="n">
        <f aca="false">N61-F61</f>
        <v>-3072000</v>
      </c>
      <c r="V61" s="88" t="n">
        <v>3072000</v>
      </c>
    </row>
    <row r="62" customFormat="false" ht="30" hidden="false" customHeight="true" outlineLevel="1" collapsed="false">
      <c r="A62" s="89"/>
      <c r="B62" s="90" t="s">
        <v>78</v>
      </c>
      <c r="C62" s="89" t="n">
        <f aca="false">40*2*3*1</f>
        <v>240</v>
      </c>
      <c r="D62" s="89" t="s">
        <v>76</v>
      </c>
      <c r="E62" s="96" t="n">
        <v>12800</v>
      </c>
      <c r="F62" s="91" t="n">
        <f aca="false">E62*C62</f>
        <v>3072000</v>
      </c>
      <c r="G62" s="117"/>
      <c r="H62" s="118"/>
      <c r="I62" s="89"/>
      <c r="J62" s="90" t="s">
        <v>78</v>
      </c>
      <c r="K62" s="89" t="n">
        <f aca="false">40*2*3*1</f>
        <v>240</v>
      </c>
      <c r="L62" s="89" t="s">
        <v>76</v>
      </c>
      <c r="M62" s="96" t="n">
        <v>12800</v>
      </c>
      <c r="N62" s="91" t="n">
        <f aca="false">M62*K62</f>
        <v>3072000</v>
      </c>
      <c r="O62" s="119"/>
      <c r="P62" s="95"/>
      <c r="Q62" s="95"/>
      <c r="R62" s="125"/>
      <c r="S62" s="116"/>
      <c r="T62" s="16"/>
      <c r="V62" s="88" t="n">
        <v>472000</v>
      </c>
    </row>
    <row r="63" customFormat="false" ht="30" hidden="false" customHeight="true" outlineLevel="1" collapsed="false">
      <c r="A63" s="70" t="n">
        <v>522141</v>
      </c>
      <c r="B63" s="71" t="s">
        <v>79</v>
      </c>
      <c r="C63" s="70"/>
      <c r="D63" s="70"/>
      <c r="E63" s="72"/>
      <c r="F63" s="73" t="n">
        <f aca="false">SUM(F65)</f>
        <v>3636000</v>
      </c>
      <c r="G63" s="74"/>
      <c r="H63" s="75"/>
      <c r="I63" s="70" t="n">
        <v>522141</v>
      </c>
      <c r="J63" s="71" t="s">
        <v>79</v>
      </c>
      <c r="K63" s="70"/>
      <c r="L63" s="70"/>
      <c r="M63" s="72"/>
      <c r="N63" s="73" t="n">
        <f aca="false">SUM(N65)</f>
        <v>3636000</v>
      </c>
      <c r="O63" s="76"/>
      <c r="P63" s="18"/>
      <c r="Q63" s="18"/>
      <c r="R63" s="18"/>
      <c r="S63" s="116"/>
      <c r="T63" s="18"/>
      <c r="V63" s="27" t="n">
        <v>0</v>
      </c>
    </row>
    <row r="64" customFormat="false" ht="30" hidden="false" customHeight="true" outlineLevel="1" collapsed="false">
      <c r="A64" s="70"/>
      <c r="B64" s="77" t="s">
        <v>32</v>
      </c>
      <c r="C64" s="70"/>
      <c r="D64" s="70"/>
      <c r="E64" s="72"/>
      <c r="F64" s="73"/>
      <c r="G64" s="74"/>
      <c r="H64" s="75"/>
      <c r="I64" s="70"/>
      <c r="J64" s="77" t="s">
        <v>32</v>
      </c>
      <c r="K64" s="70"/>
      <c r="L64" s="70"/>
      <c r="M64" s="72"/>
      <c r="N64" s="73"/>
      <c r="O64" s="78"/>
      <c r="P64" s="18"/>
      <c r="Q64" s="18"/>
      <c r="R64" s="18"/>
      <c r="S64" s="116"/>
      <c r="T64" s="18"/>
    </row>
    <row r="65" customFormat="false" ht="30" hidden="false" customHeight="true" outlineLevel="1" collapsed="false">
      <c r="A65" s="89"/>
      <c r="B65" s="90" t="s">
        <v>80</v>
      </c>
      <c r="C65" s="89" t="n">
        <f aca="false">1*3*1</f>
        <v>3</v>
      </c>
      <c r="D65" s="89" t="s">
        <v>55</v>
      </c>
      <c r="E65" s="96" t="n">
        <v>1212000</v>
      </c>
      <c r="F65" s="91" t="n">
        <f aca="false">E65*C65</f>
        <v>3636000</v>
      </c>
      <c r="G65" s="117"/>
      <c r="H65" s="118"/>
      <c r="I65" s="89"/>
      <c r="J65" s="90" t="s">
        <v>80</v>
      </c>
      <c r="K65" s="89" t="n">
        <f aca="false">1*3*1</f>
        <v>3</v>
      </c>
      <c r="L65" s="89" t="s">
        <v>55</v>
      </c>
      <c r="M65" s="96" t="n">
        <v>1212000</v>
      </c>
      <c r="N65" s="91" t="n">
        <f aca="false">M65*K65</f>
        <v>3636000</v>
      </c>
      <c r="O65" s="119"/>
      <c r="P65" s="95"/>
      <c r="Q65" s="95"/>
      <c r="R65" s="95"/>
      <c r="S65" s="116"/>
      <c r="T65" s="16"/>
      <c r="V65" s="88" t="n">
        <v>0</v>
      </c>
    </row>
    <row r="66" customFormat="false" ht="30" hidden="false" customHeight="true" outlineLevel="1" collapsed="false">
      <c r="A66" s="70" t="n">
        <v>522151</v>
      </c>
      <c r="B66" s="71" t="s">
        <v>81</v>
      </c>
      <c r="C66" s="70"/>
      <c r="D66" s="70"/>
      <c r="E66" s="72"/>
      <c r="F66" s="73" t="n">
        <f aca="false">SUM(F68:F69)</f>
        <v>6100000</v>
      </c>
      <c r="G66" s="74"/>
      <c r="H66" s="75"/>
      <c r="I66" s="70" t="n">
        <v>522151</v>
      </c>
      <c r="J66" s="71" t="s">
        <v>81</v>
      </c>
      <c r="K66" s="70"/>
      <c r="L66" s="70"/>
      <c r="M66" s="72"/>
      <c r="N66" s="73" t="n">
        <f aca="false">SUM(N68:N69)</f>
        <v>6100000</v>
      </c>
      <c r="O66" s="76"/>
      <c r="P66" s="18"/>
      <c r="Q66" s="18"/>
      <c r="R66" s="18"/>
      <c r="S66" s="116"/>
      <c r="T66" s="18"/>
      <c r="V66" s="27" t="n">
        <v>0</v>
      </c>
    </row>
    <row r="67" customFormat="false" ht="30" hidden="false" customHeight="true" outlineLevel="1" collapsed="false">
      <c r="A67" s="70"/>
      <c r="B67" s="77" t="s">
        <v>32</v>
      </c>
      <c r="C67" s="70"/>
      <c r="D67" s="70"/>
      <c r="E67" s="72"/>
      <c r="F67" s="73"/>
      <c r="G67" s="74"/>
      <c r="H67" s="75"/>
      <c r="I67" s="70"/>
      <c r="J67" s="77" t="s">
        <v>32</v>
      </c>
      <c r="K67" s="70"/>
      <c r="L67" s="70"/>
      <c r="M67" s="72"/>
      <c r="N67" s="73"/>
      <c r="O67" s="78"/>
      <c r="P67" s="18"/>
      <c r="Q67" s="18"/>
      <c r="R67" s="18"/>
      <c r="S67" s="116"/>
      <c r="T67" s="18"/>
    </row>
    <row r="68" customFormat="false" ht="30" hidden="false" customHeight="true" outlineLevel="1" collapsed="false">
      <c r="A68" s="89"/>
      <c r="B68" s="90" t="s">
        <v>82</v>
      </c>
      <c r="C68" s="89" t="n">
        <f aca="false">3*2*1</f>
        <v>6</v>
      </c>
      <c r="D68" s="89" t="s">
        <v>83</v>
      </c>
      <c r="E68" s="96" t="n">
        <v>900000</v>
      </c>
      <c r="F68" s="91" t="n">
        <f aca="false">E68*C68</f>
        <v>5400000</v>
      </c>
      <c r="G68" s="117"/>
      <c r="H68" s="118"/>
      <c r="I68" s="89"/>
      <c r="J68" s="90" t="s">
        <v>82</v>
      </c>
      <c r="K68" s="89" t="n">
        <f aca="false">3*2*1</f>
        <v>6</v>
      </c>
      <c r="L68" s="89" t="s">
        <v>83</v>
      </c>
      <c r="M68" s="96" t="n">
        <v>900000</v>
      </c>
      <c r="N68" s="91" t="n">
        <f aca="false">M68*K68</f>
        <v>5400000</v>
      </c>
      <c r="O68" s="119"/>
      <c r="P68" s="95"/>
      <c r="Q68" s="95"/>
      <c r="R68" s="95"/>
      <c r="S68" s="116"/>
      <c r="T68" s="16"/>
      <c r="V68" s="88" t="n">
        <v>0</v>
      </c>
    </row>
    <row r="69" customFormat="false" ht="30" hidden="false" customHeight="true" outlineLevel="1" collapsed="false">
      <c r="A69" s="89"/>
      <c r="B69" s="90" t="s">
        <v>84</v>
      </c>
      <c r="C69" s="89" t="n">
        <v>1</v>
      </c>
      <c r="D69" s="89" t="s">
        <v>49</v>
      </c>
      <c r="E69" s="96" t="n">
        <v>700000</v>
      </c>
      <c r="F69" s="91" t="n">
        <f aca="false">E69*C69</f>
        <v>700000</v>
      </c>
      <c r="G69" s="117"/>
      <c r="H69" s="118"/>
      <c r="I69" s="89"/>
      <c r="J69" s="90" t="s">
        <v>84</v>
      </c>
      <c r="K69" s="89" t="n">
        <v>1</v>
      </c>
      <c r="L69" s="89" t="s">
        <v>49</v>
      </c>
      <c r="M69" s="96" t="n">
        <v>700000</v>
      </c>
      <c r="N69" s="91" t="n">
        <f aca="false">M69*K69</f>
        <v>700000</v>
      </c>
      <c r="O69" s="119"/>
      <c r="P69" s="95"/>
      <c r="Q69" s="95"/>
      <c r="R69" s="95"/>
      <c r="S69" s="116"/>
      <c r="T69" s="16"/>
      <c r="V69" s="88" t="n">
        <v>0</v>
      </c>
    </row>
    <row r="70" customFormat="false" ht="30" hidden="false" customHeight="true" outlineLevel="1" collapsed="false">
      <c r="A70" s="70" t="n">
        <v>524111</v>
      </c>
      <c r="B70" s="71" t="s">
        <v>37</v>
      </c>
      <c r="C70" s="70"/>
      <c r="D70" s="70"/>
      <c r="E70" s="72"/>
      <c r="F70" s="73" t="n">
        <f aca="false">SUM(F72:F73)</f>
        <v>33225000</v>
      </c>
      <c r="G70" s="74"/>
      <c r="H70" s="75"/>
      <c r="I70" s="70" t="n">
        <v>524111</v>
      </c>
      <c r="J70" s="71" t="s">
        <v>37</v>
      </c>
      <c r="K70" s="70"/>
      <c r="L70" s="70"/>
      <c r="M70" s="72"/>
      <c r="N70" s="73" t="n">
        <f aca="false">SUM(N72:N73)</f>
        <v>33225000</v>
      </c>
      <c r="O70" s="76"/>
      <c r="P70" s="18"/>
      <c r="Q70" s="18"/>
      <c r="R70" s="18"/>
      <c r="S70" s="116"/>
      <c r="T70" s="18"/>
      <c r="V70" s="27" t="n">
        <v>0</v>
      </c>
    </row>
    <row r="71" customFormat="false" ht="30" hidden="false" customHeight="true" outlineLevel="1" collapsed="false">
      <c r="A71" s="70"/>
      <c r="B71" s="77" t="s">
        <v>32</v>
      </c>
      <c r="C71" s="70"/>
      <c r="D71" s="70"/>
      <c r="E71" s="72"/>
      <c r="F71" s="73"/>
      <c r="G71" s="74"/>
      <c r="H71" s="75"/>
      <c r="I71" s="70"/>
      <c r="J71" s="77" t="s">
        <v>32</v>
      </c>
      <c r="K71" s="70"/>
      <c r="L71" s="70"/>
      <c r="M71" s="72"/>
      <c r="N71" s="73"/>
      <c r="O71" s="78"/>
      <c r="P71" s="18"/>
      <c r="Q71" s="18"/>
      <c r="R71" s="18"/>
      <c r="S71" s="116"/>
      <c r="T71" s="18"/>
    </row>
    <row r="72" customFormat="false" ht="30" hidden="false" customHeight="true" outlineLevel="1" collapsed="false">
      <c r="A72" s="89"/>
      <c r="B72" s="90" t="s">
        <v>85</v>
      </c>
      <c r="C72" s="89" t="n">
        <v>1</v>
      </c>
      <c r="D72" s="89" t="s">
        <v>55</v>
      </c>
      <c r="E72" s="96" t="n">
        <v>18245000</v>
      </c>
      <c r="F72" s="91" t="n">
        <f aca="false">E72*C72</f>
        <v>18245000</v>
      </c>
      <c r="G72" s="117" t="s">
        <v>39</v>
      </c>
      <c r="H72" s="118"/>
      <c r="I72" s="89"/>
      <c r="J72" s="90" t="s">
        <v>85</v>
      </c>
      <c r="K72" s="89" t="n">
        <v>1</v>
      </c>
      <c r="L72" s="89" t="s">
        <v>55</v>
      </c>
      <c r="M72" s="96" t="n">
        <v>18245000</v>
      </c>
      <c r="N72" s="91" t="n">
        <f aca="false">M72*K72</f>
        <v>18245000</v>
      </c>
      <c r="O72" s="126" t="n">
        <v>9225000</v>
      </c>
      <c r="P72" s="95"/>
      <c r="Q72" s="95"/>
      <c r="R72" s="95"/>
      <c r="S72" s="116"/>
      <c r="T72" s="16"/>
      <c r="V72" s="88" t="n">
        <v>0</v>
      </c>
    </row>
    <row r="73" customFormat="false" ht="30" hidden="false" customHeight="true" outlineLevel="1" collapsed="false">
      <c r="A73" s="89"/>
      <c r="B73" s="90" t="s">
        <v>86</v>
      </c>
      <c r="C73" s="89" t="n">
        <v>1</v>
      </c>
      <c r="D73" s="89" t="s">
        <v>55</v>
      </c>
      <c r="E73" s="96" t="n">
        <v>14980000</v>
      </c>
      <c r="F73" s="91" t="n">
        <f aca="false">E73*C73</f>
        <v>14980000</v>
      </c>
      <c r="G73" s="117" t="s">
        <v>39</v>
      </c>
      <c r="H73" s="118"/>
      <c r="I73" s="89"/>
      <c r="J73" s="90" t="s">
        <v>86</v>
      </c>
      <c r="K73" s="89" t="n">
        <v>1</v>
      </c>
      <c r="L73" s="89" t="s">
        <v>55</v>
      </c>
      <c r="M73" s="96" t="n">
        <v>14980000</v>
      </c>
      <c r="N73" s="91" t="n">
        <f aca="false">M73*K73</f>
        <v>14980000</v>
      </c>
      <c r="O73" s="126" t="n">
        <v>7500000</v>
      </c>
      <c r="P73" s="95"/>
      <c r="Q73" s="95"/>
      <c r="R73" s="95"/>
      <c r="S73" s="116"/>
      <c r="T73" s="16"/>
      <c r="V73" s="88" t="n">
        <v>0</v>
      </c>
    </row>
    <row r="74" customFormat="false" ht="30" hidden="false" customHeight="true" outlineLevel="0" collapsed="false">
      <c r="A74" s="62" t="s">
        <v>45</v>
      </c>
      <c r="B74" s="63" t="s">
        <v>87</v>
      </c>
      <c r="C74" s="64"/>
      <c r="D74" s="64"/>
      <c r="E74" s="65"/>
      <c r="F74" s="66" t="n">
        <f aca="false">F75+F79</f>
        <v>173418000</v>
      </c>
      <c r="G74" s="67"/>
      <c r="H74" s="48"/>
      <c r="I74" s="62" t="s">
        <v>45</v>
      </c>
      <c r="J74" s="63" t="s">
        <v>87</v>
      </c>
      <c r="K74" s="64"/>
      <c r="L74" s="64"/>
      <c r="M74" s="65"/>
      <c r="N74" s="66" t="n">
        <f aca="false">N75+N79</f>
        <v>167097000</v>
      </c>
      <c r="O74" s="68" t="n">
        <f aca="false">SUM(O79)</f>
        <v>0</v>
      </c>
      <c r="P74" s="16"/>
      <c r="Q74" s="16"/>
      <c r="R74" s="16"/>
      <c r="S74" s="116" t="s">
        <v>63</v>
      </c>
      <c r="T74" s="18"/>
      <c r="V74" s="27" t="n">
        <v>58188400</v>
      </c>
    </row>
    <row r="75" customFormat="false" ht="30" hidden="false" customHeight="true" outlineLevel="1" collapsed="false">
      <c r="A75" s="70" t="n">
        <v>521219</v>
      </c>
      <c r="B75" s="71" t="s">
        <v>73</v>
      </c>
      <c r="C75" s="70"/>
      <c r="D75" s="70"/>
      <c r="E75" s="72"/>
      <c r="F75" s="73" t="n">
        <f aca="false">SUM(F77:F78)</f>
        <v>28800000</v>
      </c>
      <c r="G75" s="74"/>
      <c r="H75" s="75"/>
      <c r="I75" s="70" t="n">
        <v>521219</v>
      </c>
      <c r="J75" s="71" t="s">
        <v>73</v>
      </c>
      <c r="K75" s="70"/>
      <c r="L75" s="70"/>
      <c r="M75" s="72"/>
      <c r="N75" s="73" t="n">
        <f aca="false">SUM(N77:N78)</f>
        <v>22479000</v>
      </c>
      <c r="O75" s="78"/>
      <c r="P75" s="18"/>
      <c r="Q75" s="18"/>
      <c r="R75" s="18"/>
      <c r="S75" s="116"/>
      <c r="T75" s="18"/>
      <c r="V75" s="27" t="n">
        <v>15350000</v>
      </c>
    </row>
    <row r="76" customFormat="false" ht="30" hidden="false" customHeight="true" outlineLevel="1" collapsed="false">
      <c r="A76" s="70"/>
      <c r="B76" s="77" t="s">
        <v>32</v>
      </c>
      <c r="C76" s="70"/>
      <c r="D76" s="70"/>
      <c r="E76" s="72"/>
      <c r="F76" s="73"/>
      <c r="G76" s="74"/>
      <c r="H76" s="75"/>
      <c r="I76" s="70"/>
      <c r="J76" s="77" t="s">
        <v>32</v>
      </c>
      <c r="K76" s="70"/>
      <c r="L76" s="70"/>
      <c r="M76" s="72"/>
      <c r="N76" s="73"/>
      <c r="O76" s="78"/>
      <c r="P76" s="18"/>
      <c r="Q76" s="18"/>
      <c r="R76" s="18"/>
      <c r="S76" s="116"/>
      <c r="T76" s="18"/>
    </row>
    <row r="77" customFormat="false" ht="30" hidden="false" customHeight="true" outlineLevel="1" collapsed="false">
      <c r="A77" s="79"/>
      <c r="B77" s="80" t="s">
        <v>88</v>
      </c>
      <c r="C77" s="79" t="n">
        <f aca="false">50*1*5*3</f>
        <v>750</v>
      </c>
      <c r="D77" s="79" t="s">
        <v>59</v>
      </c>
      <c r="E77" s="100" t="n">
        <v>12800</v>
      </c>
      <c r="F77" s="81" t="n">
        <f aca="false">E77*C77</f>
        <v>9600000</v>
      </c>
      <c r="G77" s="121"/>
      <c r="H77" s="122"/>
      <c r="I77" s="79"/>
      <c r="J77" s="80" t="s">
        <v>89</v>
      </c>
      <c r="K77" s="79" t="n">
        <f aca="false">22*5*3</f>
        <v>330</v>
      </c>
      <c r="L77" s="79" t="s">
        <v>59</v>
      </c>
      <c r="M77" s="100" t="n">
        <v>13000</v>
      </c>
      <c r="N77" s="81" t="n">
        <f aca="false">M77*K77</f>
        <v>4290000</v>
      </c>
      <c r="O77" s="84"/>
      <c r="P77" s="105"/>
      <c r="Q77" s="105"/>
      <c r="R77" s="127" t="n">
        <f aca="false">F77-N77</f>
        <v>5310000</v>
      </c>
      <c r="S77" s="116"/>
      <c r="T77" s="52" t="n">
        <f aca="false">N77-F77</f>
        <v>-5310000</v>
      </c>
      <c r="V77" s="88" t="n">
        <v>5500000</v>
      </c>
    </row>
    <row r="78" customFormat="false" ht="30" hidden="false" customHeight="true" outlineLevel="1" collapsed="false">
      <c r="A78" s="79"/>
      <c r="B78" s="80" t="s">
        <v>90</v>
      </c>
      <c r="C78" s="79" t="n">
        <f aca="false">50*1*5*6</f>
        <v>1500</v>
      </c>
      <c r="D78" s="79" t="s">
        <v>59</v>
      </c>
      <c r="E78" s="100" t="n">
        <v>12800</v>
      </c>
      <c r="F78" s="81" t="n">
        <f aca="false">E78*C78</f>
        <v>19200000</v>
      </c>
      <c r="G78" s="121"/>
      <c r="H78" s="122"/>
      <c r="I78" s="79"/>
      <c r="J78" s="80" t="s">
        <v>91</v>
      </c>
      <c r="K78" s="79" t="n">
        <f aca="false">47*5*6</f>
        <v>1410</v>
      </c>
      <c r="L78" s="79" t="s">
        <v>59</v>
      </c>
      <c r="M78" s="100" t="n">
        <v>12900</v>
      </c>
      <c r="N78" s="81" t="n">
        <f aca="false">M78*K78</f>
        <v>18189000</v>
      </c>
      <c r="O78" s="84"/>
      <c r="P78" s="105"/>
      <c r="Q78" s="105"/>
      <c r="R78" s="127" t="n">
        <f aca="false">F78-N78</f>
        <v>1011000</v>
      </c>
      <c r="S78" s="116"/>
      <c r="T78" s="52" t="n">
        <f aca="false">N78-F78</f>
        <v>-1011000</v>
      </c>
      <c r="V78" s="88" t="n">
        <v>9850000</v>
      </c>
    </row>
    <row r="79" customFormat="false" ht="30" hidden="false" customHeight="true" outlineLevel="1" collapsed="false">
      <c r="A79" s="70" t="n">
        <v>524111</v>
      </c>
      <c r="B79" s="71" t="s">
        <v>37</v>
      </c>
      <c r="C79" s="70"/>
      <c r="D79" s="70"/>
      <c r="E79" s="72"/>
      <c r="F79" s="73" t="n">
        <f aca="false">SUM(F81:F84)</f>
        <v>144618000</v>
      </c>
      <c r="G79" s="74"/>
      <c r="H79" s="75"/>
      <c r="I79" s="70" t="n">
        <v>524111</v>
      </c>
      <c r="J79" s="71" t="s">
        <v>37</v>
      </c>
      <c r="K79" s="70"/>
      <c r="L79" s="70"/>
      <c r="M79" s="72"/>
      <c r="N79" s="73" t="n">
        <f aca="false">SUM(N81:N84)</f>
        <v>144618000</v>
      </c>
      <c r="O79" s="76" t="n">
        <f aca="false">SUM(O81:O84)</f>
        <v>0</v>
      </c>
      <c r="P79" s="18"/>
      <c r="Q79" s="18"/>
      <c r="R79" s="128"/>
      <c r="S79" s="116"/>
      <c r="T79" s="18"/>
      <c r="V79" s="27" t="n">
        <v>42838400</v>
      </c>
    </row>
    <row r="80" customFormat="false" ht="30" hidden="false" customHeight="true" outlineLevel="1" collapsed="false">
      <c r="A80" s="70"/>
      <c r="B80" s="77" t="s">
        <v>32</v>
      </c>
      <c r="C80" s="70"/>
      <c r="D80" s="70"/>
      <c r="E80" s="72"/>
      <c r="F80" s="73"/>
      <c r="G80" s="74"/>
      <c r="H80" s="75"/>
      <c r="I80" s="70"/>
      <c r="J80" s="77" t="s">
        <v>32</v>
      </c>
      <c r="K80" s="70"/>
      <c r="L80" s="70"/>
      <c r="M80" s="72"/>
      <c r="N80" s="73"/>
      <c r="O80" s="78"/>
      <c r="P80" s="18"/>
      <c r="Q80" s="18"/>
      <c r="R80" s="18"/>
      <c r="S80" s="116"/>
      <c r="T80" s="18"/>
    </row>
    <row r="81" customFormat="false" ht="30" hidden="false" customHeight="true" outlineLevel="1" collapsed="false">
      <c r="A81" s="89"/>
      <c r="B81" s="90" t="s">
        <v>92</v>
      </c>
      <c r="C81" s="89" t="n">
        <v>1</v>
      </c>
      <c r="D81" s="89" t="s">
        <v>55</v>
      </c>
      <c r="E81" s="96" t="n">
        <v>15170000</v>
      </c>
      <c r="F81" s="91" t="n">
        <f aca="false">E81*C81</f>
        <v>15170000</v>
      </c>
      <c r="G81" s="117"/>
      <c r="H81" s="118"/>
      <c r="I81" s="89"/>
      <c r="J81" s="90" t="s">
        <v>92</v>
      </c>
      <c r="K81" s="89" t="n">
        <v>1</v>
      </c>
      <c r="L81" s="89" t="s">
        <v>55</v>
      </c>
      <c r="M81" s="96" t="n">
        <v>15170000</v>
      </c>
      <c r="N81" s="91" t="n">
        <f aca="false">M81*K81</f>
        <v>15170000</v>
      </c>
      <c r="O81" s="119"/>
      <c r="P81" s="95"/>
      <c r="Q81" s="95"/>
      <c r="R81" s="95"/>
      <c r="S81" s="116"/>
      <c r="T81" s="16"/>
      <c r="V81" s="88" t="n">
        <v>0</v>
      </c>
    </row>
    <row r="82" customFormat="false" ht="30" hidden="false" customHeight="true" outlineLevel="1" collapsed="false">
      <c r="A82" s="89"/>
      <c r="B82" s="90" t="s">
        <v>93</v>
      </c>
      <c r="C82" s="89" t="n">
        <v>1</v>
      </c>
      <c r="D82" s="89" t="s">
        <v>55</v>
      </c>
      <c r="E82" s="96" t="n">
        <v>13160000</v>
      </c>
      <c r="F82" s="91" t="n">
        <f aca="false">E82*C82</f>
        <v>13160000</v>
      </c>
      <c r="G82" s="117"/>
      <c r="H82" s="118"/>
      <c r="I82" s="89"/>
      <c r="J82" s="90" t="s">
        <v>93</v>
      </c>
      <c r="K82" s="89" t="n">
        <v>1</v>
      </c>
      <c r="L82" s="89" t="s">
        <v>55</v>
      </c>
      <c r="M82" s="96" t="n">
        <v>13160000</v>
      </c>
      <c r="N82" s="91" t="n">
        <f aca="false">M82*K82</f>
        <v>13160000</v>
      </c>
      <c r="O82" s="119"/>
      <c r="P82" s="95"/>
      <c r="Q82" s="95"/>
      <c r="R82" s="95"/>
      <c r="S82" s="116"/>
      <c r="T82" s="16"/>
      <c r="V82" s="88" t="n">
        <v>0</v>
      </c>
    </row>
    <row r="83" customFormat="false" ht="30" hidden="false" customHeight="true" outlineLevel="1" collapsed="false">
      <c r="A83" s="89"/>
      <c r="B83" s="90" t="s">
        <v>94</v>
      </c>
      <c r="C83" s="89" t="n">
        <v>1</v>
      </c>
      <c r="D83" s="89" t="s">
        <v>55</v>
      </c>
      <c r="E83" s="96" t="n">
        <v>63563000</v>
      </c>
      <c r="F83" s="91" t="n">
        <f aca="false">E83*C83</f>
        <v>63563000</v>
      </c>
      <c r="G83" s="117"/>
      <c r="H83" s="118"/>
      <c r="I83" s="89"/>
      <c r="J83" s="90" t="s">
        <v>94</v>
      </c>
      <c r="K83" s="89" t="n">
        <v>1</v>
      </c>
      <c r="L83" s="89" t="s">
        <v>55</v>
      </c>
      <c r="M83" s="96" t="n">
        <v>63563000</v>
      </c>
      <c r="N83" s="91" t="n">
        <f aca="false">M83*K83</f>
        <v>63563000</v>
      </c>
      <c r="O83" s="119"/>
      <c r="P83" s="95"/>
      <c r="Q83" s="95"/>
      <c r="R83" s="95"/>
      <c r="S83" s="129"/>
      <c r="T83" s="16"/>
      <c r="V83" s="88" t="n">
        <v>24203000</v>
      </c>
    </row>
    <row r="84" customFormat="false" ht="30" hidden="false" customHeight="true" outlineLevel="1" collapsed="false">
      <c r="A84" s="89"/>
      <c r="B84" s="90" t="s">
        <v>95</v>
      </c>
      <c r="C84" s="89" t="n">
        <v>1</v>
      </c>
      <c r="D84" s="89" t="s">
        <v>55</v>
      </c>
      <c r="E84" s="96" t="n">
        <v>52725000</v>
      </c>
      <c r="F84" s="91" t="n">
        <f aca="false">E84*C84</f>
        <v>52725000</v>
      </c>
      <c r="G84" s="117"/>
      <c r="H84" s="118"/>
      <c r="I84" s="89"/>
      <c r="J84" s="90" t="s">
        <v>95</v>
      </c>
      <c r="K84" s="89" t="n">
        <v>1</v>
      </c>
      <c r="L84" s="89" t="s">
        <v>55</v>
      </c>
      <c r="M84" s="96" t="n">
        <v>52725000</v>
      </c>
      <c r="N84" s="91" t="n">
        <f aca="false">M84*K84</f>
        <v>52725000</v>
      </c>
      <c r="O84" s="119"/>
      <c r="P84" s="95"/>
      <c r="Q84" s="95"/>
      <c r="R84" s="95"/>
      <c r="S84" s="129"/>
      <c r="T84" s="16"/>
      <c r="V84" s="88" t="n">
        <v>18635400</v>
      </c>
    </row>
    <row r="85" customFormat="false" ht="30" hidden="false" customHeight="true" outlineLevel="0" collapsed="false">
      <c r="A85" s="62" t="s">
        <v>96</v>
      </c>
      <c r="B85" s="63" t="s">
        <v>97</v>
      </c>
      <c r="C85" s="64"/>
      <c r="D85" s="64"/>
      <c r="E85" s="65"/>
      <c r="F85" s="66" t="n">
        <f aca="false">SUM(F86,F90,F94,F97)</f>
        <v>16920000</v>
      </c>
      <c r="G85" s="67"/>
      <c r="H85" s="48"/>
      <c r="I85" s="62" t="s">
        <v>96</v>
      </c>
      <c r="J85" s="63" t="s">
        <v>97</v>
      </c>
      <c r="K85" s="64"/>
      <c r="L85" s="64"/>
      <c r="M85" s="65"/>
      <c r="N85" s="66" t="n">
        <f aca="false">SUM(N86,N90,N94,N97)</f>
        <v>95975000</v>
      </c>
      <c r="O85" s="68"/>
      <c r="P85" s="16"/>
      <c r="Q85" s="16"/>
      <c r="R85" s="16"/>
      <c r="S85" s="130" t="s">
        <v>63</v>
      </c>
      <c r="T85" s="128" t="n">
        <f aca="false">N85-F85</f>
        <v>79055000</v>
      </c>
      <c r="V85" s="27" t="n">
        <v>16920000</v>
      </c>
    </row>
    <row r="86" customFormat="false" ht="30" hidden="false" customHeight="true" outlineLevel="1" collapsed="false">
      <c r="A86" s="70" t="n">
        <v>521119</v>
      </c>
      <c r="B86" s="71" t="s">
        <v>53</v>
      </c>
      <c r="C86" s="70"/>
      <c r="D86" s="70"/>
      <c r="E86" s="72"/>
      <c r="F86" s="73" t="n">
        <f aca="false">SUM(F88:F89)</f>
        <v>7200000</v>
      </c>
      <c r="G86" s="74"/>
      <c r="H86" s="75"/>
      <c r="I86" s="70" t="n">
        <v>521119</v>
      </c>
      <c r="J86" s="71" t="s">
        <v>53</v>
      </c>
      <c r="K86" s="70"/>
      <c r="L86" s="70"/>
      <c r="M86" s="72"/>
      <c r="N86" s="73" t="n">
        <f aca="false">SUM(N88:N89)</f>
        <v>7200000</v>
      </c>
      <c r="O86" s="78"/>
      <c r="P86" s="18"/>
      <c r="Q86" s="18"/>
      <c r="R86" s="18"/>
      <c r="S86" s="130"/>
      <c r="T86" s="18"/>
      <c r="V86" s="27" t="n">
        <v>7200000</v>
      </c>
    </row>
    <row r="87" customFormat="false" ht="30" hidden="false" customHeight="true" outlineLevel="1" collapsed="false">
      <c r="A87" s="70"/>
      <c r="B87" s="77" t="s">
        <v>32</v>
      </c>
      <c r="C87" s="70"/>
      <c r="D87" s="70"/>
      <c r="E87" s="72"/>
      <c r="F87" s="73"/>
      <c r="G87" s="74"/>
      <c r="H87" s="75"/>
      <c r="I87" s="70"/>
      <c r="J87" s="77" t="s">
        <v>32</v>
      </c>
      <c r="K87" s="70"/>
      <c r="L87" s="70"/>
      <c r="M87" s="72"/>
      <c r="N87" s="73"/>
      <c r="O87" s="78"/>
      <c r="P87" s="18"/>
      <c r="Q87" s="18"/>
      <c r="R87" s="18"/>
      <c r="S87" s="130"/>
      <c r="T87" s="18"/>
    </row>
    <row r="88" customFormat="false" ht="30" hidden="false" customHeight="true" outlineLevel="1" collapsed="false">
      <c r="A88" s="70"/>
      <c r="B88" s="77" t="s">
        <v>98</v>
      </c>
      <c r="C88" s="70" t="n">
        <f aca="false">100*1</f>
        <v>100</v>
      </c>
      <c r="D88" s="70" t="s">
        <v>49</v>
      </c>
      <c r="E88" s="72" t="n">
        <v>49000</v>
      </c>
      <c r="F88" s="73" t="n">
        <f aca="false">E88*C88</f>
        <v>4900000</v>
      </c>
      <c r="G88" s="74"/>
      <c r="H88" s="75"/>
      <c r="I88" s="70"/>
      <c r="J88" s="77" t="s">
        <v>98</v>
      </c>
      <c r="K88" s="70" t="n">
        <f aca="false">100*1</f>
        <v>100</v>
      </c>
      <c r="L88" s="70" t="s">
        <v>49</v>
      </c>
      <c r="M88" s="72" t="n">
        <v>49000</v>
      </c>
      <c r="N88" s="73" t="n">
        <f aca="false">M88*K88</f>
        <v>4900000</v>
      </c>
      <c r="O88" s="78"/>
      <c r="P88" s="18"/>
      <c r="Q88" s="18"/>
      <c r="R88" s="18"/>
      <c r="S88" s="130"/>
      <c r="T88" s="18"/>
      <c r="V88" s="88" t="n">
        <v>4900000</v>
      </c>
    </row>
    <row r="89" customFormat="false" ht="30" hidden="false" customHeight="true" outlineLevel="1" collapsed="false">
      <c r="A89" s="70"/>
      <c r="B89" s="77" t="s">
        <v>99</v>
      </c>
      <c r="C89" s="70" t="n">
        <f aca="false">100*1</f>
        <v>100</v>
      </c>
      <c r="D89" s="70" t="s">
        <v>49</v>
      </c>
      <c r="E89" s="72" t="n">
        <v>23000</v>
      </c>
      <c r="F89" s="73" t="n">
        <f aca="false">E89*C89</f>
        <v>2300000</v>
      </c>
      <c r="G89" s="74"/>
      <c r="H89" s="75"/>
      <c r="I89" s="70"/>
      <c r="J89" s="77" t="s">
        <v>99</v>
      </c>
      <c r="K89" s="70" t="n">
        <f aca="false">100*1</f>
        <v>100</v>
      </c>
      <c r="L89" s="70" t="s">
        <v>49</v>
      </c>
      <c r="M89" s="72" t="n">
        <v>23000</v>
      </c>
      <c r="N89" s="73" t="n">
        <f aca="false">M89*K89</f>
        <v>2300000</v>
      </c>
      <c r="O89" s="78"/>
      <c r="P89" s="18"/>
      <c r="Q89" s="18"/>
      <c r="R89" s="18"/>
      <c r="S89" s="130"/>
      <c r="T89" s="18"/>
      <c r="V89" s="88" t="n">
        <v>2300000</v>
      </c>
    </row>
    <row r="90" customFormat="false" ht="30" hidden="false" customHeight="true" outlineLevel="1" collapsed="false">
      <c r="A90" s="70" t="n">
        <v>521211</v>
      </c>
      <c r="B90" s="71" t="s">
        <v>67</v>
      </c>
      <c r="C90" s="70"/>
      <c r="D90" s="70"/>
      <c r="E90" s="72"/>
      <c r="F90" s="73" t="n">
        <f aca="false">SUM(F92:F93)</f>
        <v>4920000</v>
      </c>
      <c r="G90" s="74"/>
      <c r="H90" s="75"/>
      <c r="I90" s="70" t="n">
        <v>521211</v>
      </c>
      <c r="J90" s="71" t="s">
        <v>67</v>
      </c>
      <c r="K90" s="70"/>
      <c r="L90" s="70"/>
      <c r="M90" s="72"/>
      <c r="N90" s="73" t="n">
        <f aca="false">SUM(N92:N93)</f>
        <v>83975000</v>
      </c>
      <c r="O90" s="78"/>
      <c r="P90" s="18"/>
      <c r="Q90" s="18"/>
      <c r="R90" s="18"/>
      <c r="S90" s="130"/>
      <c r="T90" s="18"/>
      <c r="V90" s="27" t="n">
        <v>4920000</v>
      </c>
    </row>
    <row r="91" customFormat="false" ht="30" hidden="false" customHeight="true" outlineLevel="1" collapsed="false">
      <c r="A91" s="70"/>
      <c r="B91" s="77" t="s">
        <v>32</v>
      </c>
      <c r="C91" s="70"/>
      <c r="D91" s="70"/>
      <c r="E91" s="72"/>
      <c r="F91" s="73"/>
      <c r="G91" s="74"/>
      <c r="H91" s="75"/>
      <c r="I91" s="70"/>
      <c r="J91" s="77" t="s">
        <v>32</v>
      </c>
      <c r="K91" s="70"/>
      <c r="L91" s="70"/>
      <c r="M91" s="72"/>
      <c r="N91" s="73"/>
      <c r="O91" s="78"/>
      <c r="P91" s="18"/>
      <c r="Q91" s="18"/>
      <c r="R91" s="18"/>
      <c r="S91" s="130"/>
      <c r="T91" s="18"/>
    </row>
    <row r="92" customFormat="false" ht="30" hidden="false" customHeight="true" outlineLevel="1" collapsed="false">
      <c r="A92" s="107"/>
      <c r="B92" s="108" t="s">
        <v>100</v>
      </c>
      <c r="C92" s="107" t="n">
        <f aca="false">2*1</f>
        <v>2</v>
      </c>
      <c r="D92" s="107" t="s">
        <v>101</v>
      </c>
      <c r="E92" s="109" t="n">
        <v>660000</v>
      </c>
      <c r="F92" s="110" t="n">
        <f aca="false">E92*C92</f>
        <v>1320000</v>
      </c>
      <c r="G92" s="111"/>
      <c r="H92" s="112"/>
      <c r="I92" s="107"/>
      <c r="J92" s="108" t="s">
        <v>102</v>
      </c>
      <c r="K92" s="107" t="n">
        <v>100</v>
      </c>
      <c r="L92" s="107" t="s">
        <v>49</v>
      </c>
      <c r="M92" s="109" t="n">
        <v>313200</v>
      </c>
      <c r="N92" s="110" t="n">
        <f aca="false">M92*K92</f>
        <v>31320000</v>
      </c>
      <c r="O92" s="113"/>
      <c r="P92" s="114"/>
      <c r="Q92" s="114"/>
      <c r="R92" s="115" t="n">
        <f aca="false">F92-N92</f>
        <v>-30000000</v>
      </c>
      <c r="S92" s="130"/>
      <c r="T92" s="128" t="n">
        <f aca="false">N92-F92</f>
        <v>30000000</v>
      </c>
      <c r="V92" s="88" t="n">
        <v>1320000</v>
      </c>
    </row>
    <row r="93" customFormat="false" ht="30" hidden="false" customHeight="true" outlineLevel="1" collapsed="false">
      <c r="A93" s="107"/>
      <c r="B93" s="108" t="s">
        <v>103</v>
      </c>
      <c r="C93" s="107" t="n">
        <v>6</v>
      </c>
      <c r="D93" s="107" t="s">
        <v>104</v>
      </c>
      <c r="E93" s="109" t="n">
        <v>600000</v>
      </c>
      <c r="F93" s="110" t="n">
        <f aca="false">E93*C93</f>
        <v>3600000</v>
      </c>
      <c r="G93" s="111"/>
      <c r="H93" s="112"/>
      <c r="I93" s="107"/>
      <c r="J93" s="108" t="s">
        <v>105</v>
      </c>
      <c r="K93" s="107" t="n">
        <v>100</v>
      </c>
      <c r="L93" s="107" t="s">
        <v>49</v>
      </c>
      <c r="M93" s="109" t="n">
        <v>526550</v>
      </c>
      <c r="N93" s="110" t="n">
        <f aca="false">M93*K93</f>
        <v>52655000</v>
      </c>
      <c r="O93" s="113"/>
      <c r="P93" s="114"/>
      <c r="Q93" s="114"/>
      <c r="R93" s="115" t="n">
        <f aca="false">F93-N93</f>
        <v>-49055000</v>
      </c>
      <c r="S93" s="130"/>
      <c r="T93" s="128" t="n">
        <f aca="false">N93-F93</f>
        <v>49055000</v>
      </c>
      <c r="V93" s="88" t="n">
        <v>3600000</v>
      </c>
    </row>
    <row r="94" customFormat="false" ht="30" hidden="false" customHeight="true" outlineLevel="1" collapsed="false">
      <c r="A94" s="70" t="n">
        <v>521213</v>
      </c>
      <c r="B94" s="71" t="s">
        <v>106</v>
      </c>
      <c r="C94" s="70"/>
      <c r="D94" s="70"/>
      <c r="E94" s="72"/>
      <c r="F94" s="73" t="n">
        <f aca="false">SUM(F96)</f>
        <v>1200000</v>
      </c>
      <c r="G94" s="74"/>
      <c r="H94" s="75"/>
      <c r="I94" s="70" t="n">
        <v>521213</v>
      </c>
      <c r="J94" s="71" t="s">
        <v>106</v>
      </c>
      <c r="K94" s="70"/>
      <c r="L94" s="70"/>
      <c r="M94" s="72"/>
      <c r="N94" s="73" t="n">
        <f aca="false">SUM(N96)</f>
        <v>1200000</v>
      </c>
      <c r="O94" s="78"/>
      <c r="P94" s="18"/>
      <c r="Q94" s="18"/>
      <c r="R94" s="18"/>
      <c r="S94" s="130"/>
      <c r="T94" s="18"/>
      <c r="V94" s="27" t="n">
        <v>1200000</v>
      </c>
    </row>
    <row r="95" customFormat="false" ht="30" hidden="false" customHeight="true" outlineLevel="1" collapsed="false">
      <c r="A95" s="70"/>
      <c r="B95" s="77" t="s">
        <v>32</v>
      </c>
      <c r="C95" s="70"/>
      <c r="D95" s="70"/>
      <c r="E95" s="72"/>
      <c r="F95" s="73"/>
      <c r="G95" s="74"/>
      <c r="H95" s="75"/>
      <c r="I95" s="70"/>
      <c r="J95" s="77" t="s">
        <v>32</v>
      </c>
      <c r="K95" s="70"/>
      <c r="L95" s="70"/>
      <c r="M95" s="72"/>
      <c r="N95" s="73"/>
      <c r="O95" s="78"/>
      <c r="P95" s="18"/>
      <c r="Q95" s="18"/>
      <c r="R95" s="18"/>
      <c r="S95" s="130"/>
      <c r="T95" s="18"/>
    </row>
    <row r="96" customFormat="false" ht="40.5" hidden="false" customHeight="true" outlineLevel="1" collapsed="false">
      <c r="A96" s="70"/>
      <c r="B96" s="77" t="s">
        <v>107</v>
      </c>
      <c r="C96" s="70" t="n">
        <f aca="false">4*1</f>
        <v>4</v>
      </c>
      <c r="D96" s="70" t="s">
        <v>49</v>
      </c>
      <c r="E96" s="72" t="n">
        <v>300000</v>
      </c>
      <c r="F96" s="73" t="n">
        <f aca="false">E96*C96</f>
        <v>1200000</v>
      </c>
      <c r="G96" s="74"/>
      <c r="H96" s="75"/>
      <c r="I96" s="70"/>
      <c r="J96" s="77" t="s">
        <v>107</v>
      </c>
      <c r="K96" s="70" t="n">
        <f aca="false">4*1</f>
        <v>4</v>
      </c>
      <c r="L96" s="70" t="s">
        <v>49</v>
      </c>
      <c r="M96" s="72" t="n">
        <v>300000</v>
      </c>
      <c r="N96" s="73" t="n">
        <f aca="false">M96*K96</f>
        <v>1200000</v>
      </c>
      <c r="O96" s="78"/>
      <c r="P96" s="18"/>
      <c r="Q96" s="18"/>
      <c r="R96" s="18"/>
      <c r="S96" s="130"/>
      <c r="T96" s="18"/>
      <c r="V96" s="88" t="n">
        <v>1200000</v>
      </c>
    </row>
    <row r="97" customFormat="false" ht="30" hidden="false" customHeight="true" outlineLevel="1" collapsed="false">
      <c r="A97" s="70" t="n">
        <v>522151</v>
      </c>
      <c r="B97" s="71" t="s">
        <v>81</v>
      </c>
      <c r="C97" s="70"/>
      <c r="D97" s="70"/>
      <c r="E97" s="72"/>
      <c r="F97" s="73" t="n">
        <f aca="false">SUM(F99)</f>
        <v>3600000</v>
      </c>
      <c r="G97" s="74"/>
      <c r="H97" s="75"/>
      <c r="I97" s="70" t="n">
        <v>522151</v>
      </c>
      <c r="J97" s="71" t="s">
        <v>81</v>
      </c>
      <c r="K97" s="70"/>
      <c r="L97" s="70"/>
      <c r="M97" s="72"/>
      <c r="N97" s="73" t="n">
        <f aca="false">SUM(N99)</f>
        <v>3600000</v>
      </c>
      <c r="O97" s="78"/>
      <c r="P97" s="18"/>
      <c r="Q97" s="18"/>
      <c r="R97" s="18"/>
      <c r="S97" s="130"/>
      <c r="T97" s="18"/>
      <c r="V97" s="27" t="n">
        <v>3600000</v>
      </c>
    </row>
    <row r="98" customFormat="false" ht="30" hidden="false" customHeight="true" outlineLevel="1" collapsed="false">
      <c r="A98" s="70"/>
      <c r="B98" s="77" t="s">
        <v>32</v>
      </c>
      <c r="C98" s="70"/>
      <c r="D98" s="70"/>
      <c r="E98" s="72"/>
      <c r="F98" s="73"/>
      <c r="G98" s="74"/>
      <c r="H98" s="75"/>
      <c r="I98" s="70"/>
      <c r="J98" s="77" t="s">
        <v>32</v>
      </c>
      <c r="K98" s="70"/>
      <c r="L98" s="70"/>
      <c r="M98" s="72"/>
      <c r="N98" s="73"/>
      <c r="O98" s="78"/>
      <c r="P98" s="18"/>
      <c r="Q98" s="18"/>
      <c r="R98" s="18"/>
      <c r="S98" s="130"/>
      <c r="T98" s="18"/>
    </row>
    <row r="99" customFormat="false" ht="30" hidden="false" customHeight="true" outlineLevel="1" collapsed="false">
      <c r="A99" s="70"/>
      <c r="B99" s="77" t="s">
        <v>108</v>
      </c>
      <c r="C99" s="70" t="n">
        <f aca="false">2*2*1</f>
        <v>4</v>
      </c>
      <c r="D99" s="70" t="s">
        <v>83</v>
      </c>
      <c r="E99" s="72" t="n">
        <v>900000</v>
      </c>
      <c r="F99" s="73" t="n">
        <f aca="false">E99*C99</f>
        <v>3600000</v>
      </c>
      <c r="G99" s="74"/>
      <c r="H99" s="75"/>
      <c r="I99" s="70"/>
      <c r="J99" s="77" t="s">
        <v>108</v>
      </c>
      <c r="K99" s="70" t="n">
        <f aca="false">2*2*1</f>
        <v>4</v>
      </c>
      <c r="L99" s="70" t="s">
        <v>83</v>
      </c>
      <c r="M99" s="72" t="n">
        <v>900000</v>
      </c>
      <c r="N99" s="73" t="n">
        <f aca="false">M99*K99</f>
        <v>3600000</v>
      </c>
      <c r="O99" s="78"/>
      <c r="P99" s="18"/>
      <c r="Q99" s="18"/>
      <c r="R99" s="18"/>
      <c r="S99" s="130"/>
      <c r="T99" s="18"/>
      <c r="V99" s="88" t="n">
        <v>3600000</v>
      </c>
    </row>
    <row r="100" customFormat="false" ht="30" hidden="false" customHeight="true" outlineLevel="0" collapsed="false">
      <c r="A100" s="62" t="s">
        <v>109</v>
      </c>
      <c r="B100" s="63" t="s">
        <v>110</v>
      </c>
      <c r="C100" s="64"/>
      <c r="D100" s="64"/>
      <c r="E100" s="65"/>
      <c r="F100" s="66" t="n">
        <f aca="false">F101+F104</f>
        <v>11760000</v>
      </c>
      <c r="G100" s="67"/>
      <c r="H100" s="48"/>
      <c r="I100" s="62" t="s">
        <v>109</v>
      </c>
      <c r="J100" s="63" t="s">
        <v>110</v>
      </c>
      <c r="K100" s="64"/>
      <c r="L100" s="64"/>
      <c r="M100" s="65"/>
      <c r="N100" s="66" t="n">
        <f aca="false">N101+N104</f>
        <v>7632000</v>
      </c>
      <c r="O100" s="68" t="n">
        <f aca="false">O104</f>
        <v>0</v>
      </c>
      <c r="P100" s="16"/>
      <c r="Q100" s="16"/>
      <c r="R100" s="16"/>
      <c r="S100" s="130" t="s">
        <v>63</v>
      </c>
      <c r="T100" s="18"/>
      <c r="V100" s="27" t="n">
        <v>4200000</v>
      </c>
    </row>
    <row r="101" customFormat="false" ht="30" hidden="false" customHeight="true" outlineLevel="1" collapsed="false">
      <c r="A101" s="70" t="n">
        <v>521219</v>
      </c>
      <c r="B101" s="71" t="s">
        <v>73</v>
      </c>
      <c r="C101" s="70"/>
      <c r="D101" s="70"/>
      <c r="E101" s="72"/>
      <c r="F101" s="73" t="n">
        <f aca="false">F103</f>
        <v>5760000</v>
      </c>
      <c r="G101" s="74"/>
      <c r="H101" s="75"/>
      <c r="I101" s="70" t="n">
        <v>521219</v>
      </c>
      <c r="J101" s="71" t="s">
        <v>73</v>
      </c>
      <c r="K101" s="70"/>
      <c r="L101" s="70"/>
      <c r="M101" s="72"/>
      <c r="N101" s="73" t="n">
        <f aca="false">N103</f>
        <v>1872000</v>
      </c>
      <c r="O101" s="78"/>
      <c r="P101" s="18"/>
      <c r="Q101" s="18"/>
      <c r="R101" s="18"/>
      <c r="S101" s="130"/>
      <c r="T101" s="18"/>
      <c r="V101" s="27" t="n">
        <v>3960000</v>
      </c>
    </row>
    <row r="102" customFormat="false" ht="30" hidden="false" customHeight="true" outlineLevel="1" collapsed="false">
      <c r="A102" s="70"/>
      <c r="B102" s="77" t="s">
        <v>32</v>
      </c>
      <c r="C102" s="70"/>
      <c r="D102" s="70"/>
      <c r="E102" s="72"/>
      <c r="F102" s="73"/>
      <c r="G102" s="74"/>
      <c r="H102" s="75"/>
      <c r="I102" s="70"/>
      <c r="J102" s="77" t="s">
        <v>32</v>
      </c>
      <c r="K102" s="70"/>
      <c r="L102" s="70"/>
      <c r="M102" s="72"/>
      <c r="N102" s="73"/>
      <c r="O102" s="78"/>
      <c r="P102" s="18"/>
      <c r="Q102" s="18"/>
      <c r="R102" s="18"/>
      <c r="S102" s="130"/>
      <c r="T102" s="18"/>
    </row>
    <row r="103" customFormat="false" ht="39.75" hidden="false" customHeight="true" outlineLevel="1" collapsed="false">
      <c r="A103" s="79"/>
      <c r="B103" s="80" t="s">
        <v>111</v>
      </c>
      <c r="C103" s="79" t="n">
        <f aca="false">30*1*5*3</f>
        <v>450</v>
      </c>
      <c r="D103" s="79" t="s">
        <v>59</v>
      </c>
      <c r="E103" s="100" t="n">
        <v>12800</v>
      </c>
      <c r="F103" s="81" t="n">
        <f aca="false">E103*C103</f>
        <v>5760000</v>
      </c>
      <c r="G103" s="121"/>
      <c r="H103" s="122"/>
      <c r="I103" s="79"/>
      <c r="J103" s="80" t="s">
        <v>112</v>
      </c>
      <c r="K103" s="79" t="n">
        <f aca="false">16*3*3</f>
        <v>144</v>
      </c>
      <c r="L103" s="79" t="s">
        <v>59</v>
      </c>
      <c r="M103" s="100" t="n">
        <v>13000</v>
      </c>
      <c r="N103" s="81" t="n">
        <f aca="false">M103*K103</f>
        <v>1872000</v>
      </c>
      <c r="O103" s="84"/>
      <c r="P103" s="105"/>
      <c r="Q103" s="105"/>
      <c r="R103" s="127" t="n">
        <f aca="false">F103-N103</f>
        <v>3888000</v>
      </c>
      <c r="S103" s="130"/>
      <c r="T103" s="52" t="n">
        <f aca="false">N103-F103</f>
        <v>-3888000</v>
      </c>
      <c r="V103" s="88" t="n">
        <v>3960000</v>
      </c>
    </row>
    <row r="104" customFormat="false" ht="30" hidden="false" customHeight="true" outlineLevel="1" collapsed="false">
      <c r="A104" s="70" t="n">
        <v>524113</v>
      </c>
      <c r="B104" s="71" t="s">
        <v>40</v>
      </c>
      <c r="C104" s="70"/>
      <c r="D104" s="70"/>
      <c r="E104" s="72"/>
      <c r="F104" s="73" t="n">
        <f aca="false">SUM(F106:F106)</f>
        <v>6000000</v>
      </c>
      <c r="G104" s="74"/>
      <c r="H104" s="75"/>
      <c r="I104" s="70" t="n">
        <v>524113</v>
      </c>
      <c r="J104" s="71" t="s">
        <v>40</v>
      </c>
      <c r="K104" s="70"/>
      <c r="L104" s="70"/>
      <c r="M104" s="72"/>
      <c r="N104" s="73" t="n">
        <f aca="false">SUM(N106:N106)</f>
        <v>5760000</v>
      </c>
      <c r="O104" s="76" t="n">
        <f aca="false">O106</f>
        <v>0</v>
      </c>
      <c r="P104" s="18"/>
      <c r="Q104" s="18"/>
      <c r="R104" s="18"/>
      <c r="S104" s="130"/>
      <c r="T104" s="18"/>
      <c r="V104" s="27" t="n">
        <v>240000</v>
      </c>
    </row>
    <row r="105" customFormat="false" ht="30" hidden="false" customHeight="true" outlineLevel="1" collapsed="false">
      <c r="A105" s="70"/>
      <c r="B105" s="77" t="s">
        <v>32</v>
      </c>
      <c r="C105" s="70"/>
      <c r="D105" s="70"/>
      <c r="E105" s="72"/>
      <c r="F105" s="73"/>
      <c r="G105" s="74"/>
      <c r="H105" s="75"/>
      <c r="I105" s="70"/>
      <c r="J105" s="77" t="s">
        <v>32</v>
      </c>
      <c r="K105" s="70"/>
      <c r="L105" s="70"/>
      <c r="M105" s="72"/>
      <c r="N105" s="73"/>
      <c r="O105" s="78"/>
      <c r="P105" s="18"/>
      <c r="Q105" s="18"/>
      <c r="R105" s="18"/>
      <c r="S105" s="130"/>
      <c r="T105" s="18"/>
    </row>
    <row r="106" customFormat="false" ht="30" hidden="false" customHeight="true" outlineLevel="1" collapsed="false">
      <c r="A106" s="79"/>
      <c r="B106" s="80" t="s">
        <v>113</v>
      </c>
      <c r="C106" s="79" t="n">
        <v>1</v>
      </c>
      <c r="D106" s="79" t="s">
        <v>34</v>
      </c>
      <c r="E106" s="100" t="n">
        <v>6000000</v>
      </c>
      <c r="F106" s="81" t="n">
        <f aca="false">E106*C106</f>
        <v>6000000</v>
      </c>
      <c r="G106" s="121"/>
      <c r="H106" s="122"/>
      <c r="I106" s="79"/>
      <c r="J106" s="80" t="s">
        <v>113</v>
      </c>
      <c r="K106" s="79" t="n">
        <v>1</v>
      </c>
      <c r="L106" s="79" t="s">
        <v>34</v>
      </c>
      <c r="M106" s="100" t="n">
        <v>5760000</v>
      </c>
      <c r="N106" s="81" t="n">
        <f aca="false">M106*K106</f>
        <v>5760000</v>
      </c>
      <c r="O106" s="131"/>
      <c r="P106" s="101"/>
      <c r="Q106" s="101" t="n">
        <f aca="false">F106-N106</f>
        <v>240000</v>
      </c>
      <c r="R106" s="101" t="n">
        <f aca="false">G106-O106</f>
        <v>0</v>
      </c>
      <c r="S106" s="130"/>
      <c r="T106" s="52" t="n">
        <f aca="false">N106-F106</f>
        <v>-240000</v>
      </c>
      <c r="V106" s="88" t="n">
        <v>240000</v>
      </c>
    </row>
    <row r="107" customFormat="false" ht="30" hidden="false" customHeight="true" outlineLevel="0" collapsed="false">
      <c r="A107" s="62" t="s">
        <v>114</v>
      </c>
      <c r="B107" s="63" t="s">
        <v>115</v>
      </c>
      <c r="C107" s="64"/>
      <c r="D107" s="64"/>
      <c r="E107" s="65"/>
      <c r="F107" s="66" t="n">
        <f aca="false">F108+F111</f>
        <v>249916000</v>
      </c>
      <c r="G107" s="67"/>
      <c r="H107" s="48"/>
      <c r="I107" s="62" t="s">
        <v>114</v>
      </c>
      <c r="J107" s="63" t="s">
        <v>115</v>
      </c>
      <c r="K107" s="64"/>
      <c r="L107" s="64"/>
      <c r="M107" s="65"/>
      <c r="N107" s="66" t="n">
        <f aca="false">N108+N111</f>
        <v>243772000</v>
      </c>
      <c r="O107" s="68" t="n">
        <f aca="false">O111</f>
        <v>0</v>
      </c>
      <c r="P107" s="16"/>
      <c r="Q107" s="16"/>
      <c r="R107" s="16"/>
      <c r="S107" s="116" t="s">
        <v>63</v>
      </c>
      <c r="T107" s="18"/>
      <c r="V107" s="27" t="n">
        <v>114405000</v>
      </c>
    </row>
    <row r="108" customFormat="false" ht="30" hidden="false" customHeight="true" outlineLevel="1" collapsed="false">
      <c r="A108" s="70" t="n">
        <v>521219</v>
      </c>
      <c r="B108" s="71" t="s">
        <v>73</v>
      </c>
      <c r="C108" s="70"/>
      <c r="D108" s="70"/>
      <c r="E108" s="72"/>
      <c r="F108" s="73" t="n">
        <f aca="false">F110</f>
        <v>34560000</v>
      </c>
      <c r="G108" s="74"/>
      <c r="H108" s="75"/>
      <c r="I108" s="70" t="n">
        <v>521219</v>
      </c>
      <c r="J108" s="71" t="s">
        <v>73</v>
      </c>
      <c r="K108" s="70"/>
      <c r="L108" s="70"/>
      <c r="M108" s="72"/>
      <c r="N108" s="73" t="n">
        <f aca="false">N110</f>
        <v>28416000</v>
      </c>
      <c r="O108" s="78"/>
      <c r="P108" s="18"/>
      <c r="Q108" s="18"/>
      <c r="R108" s="18"/>
      <c r="S108" s="116"/>
      <c r="T108" s="18"/>
      <c r="V108" s="27" t="n">
        <v>20110000</v>
      </c>
    </row>
    <row r="109" customFormat="false" ht="30" hidden="false" customHeight="true" outlineLevel="1" collapsed="false">
      <c r="A109" s="70"/>
      <c r="B109" s="77" t="s">
        <v>32</v>
      </c>
      <c r="C109" s="70"/>
      <c r="D109" s="70"/>
      <c r="E109" s="72"/>
      <c r="F109" s="73"/>
      <c r="G109" s="74"/>
      <c r="H109" s="75"/>
      <c r="I109" s="70"/>
      <c r="J109" s="77" t="s">
        <v>32</v>
      </c>
      <c r="K109" s="70"/>
      <c r="L109" s="70"/>
      <c r="M109" s="72"/>
      <c r="N109" s="73"/>
      <c r="O109" s="78"/>
      <c r="P109" s="18"/>
      <c r="Q109" s="18"/>
      <c r="R109" s="18"/>
      <c r="S109" s="116"/>
      <c r="T109" s="18"/>
    </row>
    <row r="110" customFormat="false" ht="46.5" hidden="false" customHeight="true" outlineLevel="1" collapsed="false">
      <c r="A110" s="79"/>
      <c r="B110" s="80" t="s">
        <v>116</v>
      </c>
      <c r="C110" s="79" t="n">
        <f aca="false">45*1*5*12</f>
        <v>2700</v>
      </c>
      <c r="D110" s="79" t="s">
        <v>59</v>
      </c>
      <c r="E110" s="100" t="n">
        <v>12800</v>
      </c>
      <c r="F110" s="81" t="n">
        <f aca="false">E110*C110</f>
        <v>34560000</v>
      </c>
      <c r="G110" s="121"/>
      <c r="H110" s="122"/>
      <c r="I110" s="79"/>
      <c r="J110" s="80" t="s">
        <v>117</v>
      </c>
      <c r="K110" s="79" t="n">
        <f aca="false">37*1*5*12</f>
        <v>2220</v>
      </c>
      <c r="L110" s="79" t="s">
        <v>59</v>
      </c>
      <c r="M110" s="100" t="n">
        <v>12800</v>
      </c>
      <c r="N110" s="81" t="n">
        <f aca="false">M110*K110</f>
        <v>28416000</v>
      </c>
      <c r="O110" s="84"/>
      <c r="P110" s="105"/>
      <c r="Q110" s="105"/>
      <c r="R110" s="132" t="n">
        <f aca="false">F110-N110</f>
        <v>6144000</v>
      </c>
      <c r="S110" s="116"/>
      <c r="T110" s="52" t="n">
        <f aca="false">N110-F110</f>
        <v>-6144000</v>
      </c>
      <c r="V110" s="88" t="n">
        <v>20110000</v>
      </c>
    </row>
    <row r="111" customFormat="false" ht="30" hidden="false" customHeight="true" outlineLevel="1" collapsed="false">
      <c r="A111" s="70" t="n">
        <v>524111</v>
      </c>
      <c r="B111" s="71" t="s">
        <v>37</v>
      </c>
      <c r="C111" s="70"/>
      <c r="D111" s="70"/>
      <c r="E111" s="72"/>
      <c r="F111" s="73" t="n">
        <f aca="false">SUM(F113:F114)</f>
        <v>215356000</v>
      </c>
      <c r="G111" s="74"/>
      <c r="H111" s="75"/>
      <c r="I111" s="70" t="n">
        <v>524111</v>
      </c>
      <c r="J111" s="71" t="s">
        <v>37</v>
      </c>
      <c r="K111" s="70"/>
      <c r="L111" s="70"/>
      <c r="M111" s="72"/>
      <c r="N111" s="73" t="n">
        <f aca="false">SUM(N113:N114)</f>
        <v>215356000</v>
      </c>
      <c r="O111" s="76" t="n">
        <f aca="false">SUM(O113:O114)</f>
        <v>0</v>
      </c>
      <c r="P111" s="18"/>
      <c r="Q111" s="18"/>
      <c r="R111" s="18"/>
      <c r="S111" s="116"/>
      <c r="T111" s="18"/>
      <c r="V111" s="27" t="n">
        <v>94295000</v>
      </c>
    </row>
    <row r="112" customFormat="false" ht="30" hidden="false" customHeight="true" outlineLevel="1" collapsed="false">
      <c r="A112" s="70"/>
      <c r="B112" s="77" t="s">
        <v>32</v>
      </c>
      <c r="C112" s="70"/>
      <c r="D112" s="70"/>
      <c r="E112" s="72"/>
      <c r="F112" s="73"/>
      <c r="G112" s="74"/>
      <c r="H112" s="75"/>
      <c r="I112" s="70"/>
      <c r="J112" s="77" t="s">
        <v>32</v>
      </c>
      <c r="K112" s="70"/>
      <c r="L112" s="70"/>
      <c r="M112" s="72"/>
      <c r="N112" s="73"/>
      <c r="O112" s="78"/>
      <c r="P112" s="18"/>
      <c r="Q112" s="18"/>
      <c r="R112" s="18"/>
      <c r="S112" s="116"/>
      <c r="T112" s="18"/>
    </row>
    <row r="113" customFormat="false" ht="30" hidden="false" customHeight="true" outlineLevel="1" collapsed="false">
      <c r="A113" s="89"/>
      <c r="B113" s="90" t="s">
        <v>118</v>
      </c>
      <c r="C113" s="89" t="n">
        <v>1</v>
      </c>
      <c r="D113" s="89" t="s">
        <v>55</v>
      </c>
      <c r="E113" s="96" t="n">
        <v>115210000</v>
      </c>
      <c r="F113" s="91" t="n">
        <f aca="false">E113*C113</f>
        <v>115210000</v>
      </c>
      <c r="G113" s="117"/>
      <c r="H113" s="118"/>
      <c r="I113" s="89"/>
      <c r="J113" s="90" t="s">
        <v>118</v>
      </c>
      <c r="K113" s="89" t="n">
        <v>1</v>
      </c>
      <c r="L113" s="89" t="s">
        <v>55</v>
      </c>
      <c r="M113" s="96" t="n">
        <v>115210000</v>
      </c>
      <c r="N113" s="91" t="n">
        <f aca="false">M113*K113</f>
        <v>115210000</v>
      </c>
      <c r="O113" s="119"/>
      <c r="P113" s="95"/>
      <c r="Q113" s="95"/>
      <c r="R113" s="95"/>
      <c r="S113" s="116"/>
      <c r="T113" s="16"/>
      <c r="V113" s="88" t="n">
        <v>49200000</v>
      </c>
    </row>
    <row r="114" customFormat="false" ht="30" hidden="false" customHeight="true" outlineLevel="1" collapsed="false">
      <c r="A114" s="89"/>
      <c r="B114" s="90" t="s">
        <v>119</v>
      </c>
      <c r="C114" s="89" t="n">
        <v>1</v>
      </c>
      <c r="D114" s="89" t="s">
        <v>55</v>
      </c>
      <c r="E114" s="96" t="n">
        <v>100146000</v>
      </c>
      <c r="F114" s="91" t="n">
        <f aca="false">E114*C114</f>
        <v>100146000</v>
      </c>
      <c r="G114" s="117"/>
      <c r="H114" s="118"/>
      <c r="I114" s="89"/>
      <c r="J114" s="90" t="s">
        <v>119</v>
      </c>
      <c r="K114" s="89" t="n">
        <v>1</v>
      </c>
      <c r="L114" s="89" t="s">
        <v>55</v>
      </c>
      <c r="M114" s="96" t="n">
        <v>100146000</v>
      </c>
      <c r="N114" s="91" t="n">
        <f aca="false">M114*K114</f>
        <v>100146000</v>
      </c>
      <c r="O114" s="119"/>
      <c r="P114" s="95"/>
      <c r="Q114" s="95"/>
      <c r="R114" s="95"/>
      <c r="S114" s="116"/>
      <c r="T114" s="16"/>
      <c r="V114" s="88" t="n">
        <v>45095000</v>
      </c>
    </row>
    <row r="115" customFormat="false" ht="30" hidden="false" customHeight="true" outlineLevel="0" collapsed="false">
      <c r="A115" s="62" t="s">
        <v>120</v>
      </c>
      <c r="B115" s="63" t="s">
        <v>121</v>
      </c>
      <c r="C115" s="64"/>
      <c r="D115" s="64"/>
      <c r="E115" s="65"/>
      <c r="F115" s="66" t="n">
        <f aca="false">F116+F119</f>
        <v>21154000</v>
      </c>
      <c r="G115" s="67"/>
      <c r="H115" s="48"/>
      <c r="I115" s="62" t="s">
        <v>120</v>
      </c>
      <c r="J115" s="63" t="s">
        <v>121</v>
      </c>
      <c r="K115" s="64"/>
      <c r="L115" s="64"/>
      <c r="M115" s="65"/>
      <c r="N115" s="66" t="n">
        <f aca="false">N116+N119</f>
        <v>16316000</v>
      </c>
      <c r="O115" s="68" t="n">
        <f aca="false">O119</f>
        <v>0</v>
      </c>
      <c r="P115" s="16"/>
      <c r="Q115" s="16"/>
      <c r="R115" s="16"/>
      <c r="S115" s="116" t="s">
        <v>63</v>
      </c>
      <c r="T115" s="18"/>
      <c r="V115" s="27" t="n">
        <v>4948320</v>
      </c>
    </row>
    <row r="116" customFormat="false" ht="30" hidden="false" customHeight="true" outlineLevel="1" collapsed="false">
      <c r="A116" s="70" t="n">
        <v>522141</v>
      </c>
      <c r="B116" s="71" t="s">
        <v>73</v>
      </c>
      <c r="C116" s="70"/>
      <c r="D116" s="70"/>
      <c r="E116" s="72"/>
      <c r="F116" s="73" t="n">
        <f aca="false">F118</f>
        <v>6060000</v>
      </c>
      <c r="G116" s="74"/>
      <c r="H116" s="75"/>
      <c r="I116" s="70" t="n">
        <v>522141</v>
      </c>
      <c r="J116" s="71" t="s">
        <v>73</v>
      </c>
      <c r="K116" s="70"/>
      <c r="L116" s="70"/>
      <c r="M116" s="72"/>
      <c r="N116" s="73" t="n">
        <f aca="false">N118</f>
        <v>2060000</v>
      </c>
      <c r="O116" s="78"/>
      <c r="P116" s="18"/>
      <c r="Q116" s="18"/>
      <c r="R116" s="18"/>
      <c r="S116" s="116"/>
      <c r="T116" s="18"/>
      <c r="V116" s="27" t="n">
        <v>4110000</v>
      </c>
    </row>
    <row r="117" customFormat="false" ht="30" hidden="false" customHeight="true" outlineLevel="1" collapsed="false">
      <c r="A117" s="70"/>
      <c r="B117" s="77" t="s">
        <v>32</v>
      </c>
      <c r="C117" s="70"/>
      <c r="D117" s="70"/>
      <c r="E117" s="72"/>
      <c r="F117" s="73"/>
      <c r="G117" s="74"/>
      <c r="H117" s="75"/>
      <c r="I117" s="70"/>
      <c r="J117" s="77" t="s">
        <v>32</v>
      </c>
      <c r="K117" s="70"/>
      <c r="L117" s="70"/>
      <c r="M117" s="72"/>
      <c r="N117" s="73"/>
      <c r="O117" s="78"/>
      <c r="P117" s="18"/>
      <c r="Q117" s="18"/>
      <c r="R117" s="18"/>
      <c r="S117" s="116"/>
      <c r="T117" s="18"/>
    </row>
    <row r="118" customFormat="false" ht="54" hidden="false" customHeight="true" outlineLevel="1" collapsed="false">
      <c r="A118" s="79"/>
      <c r="B118" s="80" t="s">
        <v>122</v>
      </c>
      <c r="C118" s="79" t="n">
        <v>5</v>
      </c>
      <c r="D118" s="79" t="s">
        <v>123</v>
      </c>
      <c r="E118" s="100" t="n">
        <v>1212000</v>
      </c>
      <c r="F118" s="81" t="n">
        <f aca="false">E118*C118</f>
        <v>6060000</v>
      </c>
      <c r="G118" s="121"/>
      <c r="H118" s="122"/>
      <c r="I118" s="79"/>
      <c r="J118" s="80" t="s">
        <v>122</v>
      </c>
      <c r="K118" s="79" t="n">
        <v>1</v>
      </c>
      <c r="L118" s="79" t="s">
        <v>55</v>
      </c>
      <c r="M118" s="100" t="n">
        <v>2060000</v>
      </c>
      <c r="N118" s="81" t="n">
        <f aca="false">M118*K118</f>
        <v>2060000</v>
      </c>
      <c r="O118" s="84"/>
      <c r="P118" s="105"/>
      <c r="Q118" s="105"/>
      <c r="R118" s="133" t="n">
        <f aca="false">F118-N118</f>
        <v>4000000</v>
      </c>
      <c r="S118" s="116"/>
      <c r="T118" s="52" t="n">
        <f aca="false">N118-F118</f>
        <v>-4000000</v>
      </c>
      <c r="V118" s="88" t="n">
        <v>4110000</v>
      </c>
    </row>
    <row r="119" customFormat="false" ht="30" hidden="false" customHeight="true" outlineLevel="1" collapsed="false">
      <c r="A119" s="70" t="n">
        <v>524111</v>
      </c>
      <c r="B119" s="71" t="s">
        <v>37</v>
      </c>
      <c r="C119" s="70"/>
      <c r="D119" s="70"/>
      <c r="E119" s="72"/>
      <c r="F119" s="73" t="n">
        <f aca="false">SUM(F121:F123)</f>
        <v>15094000</v>
      </c>
      <c r="G119" s="74"/>
      <c r="H119" s="75"/>
      <c r="I119" s="70" t="n">
        <v>524111</v>
      </c>
      <c r="J119" s="71" t="s">
        <v>37</v>
      </c>
      <c r="K119" s="70"/>
      <c r="L119" s="70"/>
      <c r="M119" s="72"/>
      <c r="N119" s="73" t="n">
        <f aca="false">SUM(N121:N123)</f>
        <v>14256000</v>
      </c>
      <c r="O119" s="76" t="n">
        <f aca="false">SUM(O121:O123)</f>
        <v>0</v>
      </c>
      <c r="P119" s="18"/>
      <c r="Q119" s="18"/>
      <c r="R119" s="18"/>
      <c r="S119" s="116"/>
      <c r="T119" s="18"/>
      <c r="V119" s="27" t="n">
        <v>838320</v>
      </c>
    </row>
    <row r="120" customFormat="false" ht="30" hidden="false" customHeight="true" outlineLevel="1" collapsed="false">
      <c r="A120" s="70"/>
      <c r="B120" s="77" t="s">
        <v>32</v>
      </c>
      <c r="C120" s="70"/>
      <c r="D120" s="70"/>
      <c r="E120" s="72"/>
      <c r="F120" s="73"/>
      <c r="G120" s="74"/>
      <c r="H120" s="75"/>
      <c r="I120" s="70"/>
      <c r="J120" s="77" t="s">
        <v>32</v>
      </c>
      <c r="K120" s="70"/>
      <c r="L120" s="70"/>
      <c r="M120" s="72"/>
      <c r="N120" s="73"/>
      <c r="O120" s="78"/>
      <c r="P120" s="18"/>
      <c r="Q120" s="18"/>
      <c r="R120" s="18"/>
      <c r="S120" s="116"/>
      <c r="T120" s="18"/>
    </row>
    <row r="121" customFormat="false" ht="30" hidden="false" customHeight="true" outlineLevel="1" collapsed="false">
      <c r="A121" s="89"/>
      <c r="B121" s="90" t="s">
        <v>124</v>
      </c>
      <c r="C121" s="89" t="n">
        <v>1</v>
      </c>
      <c r="D121" s="89" t="s">
        <v>55</v>
      </c>
      <c r="E121" s="96" t="n">
        <v>4920000</v>
      </c>
      <c r="F121" s="91" t="n">
        <f aca="false">E121*C121</f>
        <v>4920000</v>
      </c>
      <c r="G121" s="117"/>
      <c r="H121" s="118"/>
      <c r="I121" s="89"/>
      <c r="J121" s="90" t="s">
        <v>124</v>
      </c>
      <c r="K121" s="89" t="n">
        <v>1</v>
      </c>
      <c r="L121" s="89" t="s">
        <v>55</v>
      </c>
      <c r="M121" s="96" t="n">
        <v>4920000</v>
      </c>
      <c r="N121" s="91" t="n">
        <f aca="false">M121*K121</f>
        <v>4920000</v>
      </c>
      <c r="O121" s="119"/>
      <c r="P121" s="95"/>
      <c r="Q121" s="95"/>
      <c r="R121" s="95"/>
      <c r="S121" s="116"/>
      <c r="T121" s="16"/>
      <c r="V121" s="88" t="n">
        <v>0</v>
      </c>
    </row>
    <row r="122" customFormat="false" ht="45.75" hidden="false" customHeight="true" outlineLevel="1" collapsed="false">
      <c r="A122" s="79"/>
      <c r="B122" s="80" t="s">
        <v>125</v>
      </c>
      <c r="C122" s="79" t="n">
        <v>1</v>
      </c>
      <c r="D122" s="79" t="s">
        <v>55</v>
      </c>
      <c r="E122" s="100" t="n">
        <v>2344000</v>
      </c>
      <c r="F122" s="81" t="n">
        <f aca="false">E122*C122</f>
        <v>2344000</v>
      </c>
      <c r="G122" s="121"/>
      <c r="H122" s="122"/>
      <c r="I122" s="79"/>
      <c r="J122" s="80" t="s">
        <v>125</v>
      </c>
      <c r="K122" s="79" t="n">
        <v>1</v>
      </c>
      <c r="L122" s="79" t="s">
        <v>55</v>
      </c>
      <c r="M122" s="100" t="n">
        <v>2300000</v>
      </c>
      <c r="N122" s="81" t="n">
        <f aca="false">M122*K122</f>
        <v>2300000</v>
      </c>
      <c r="O122" s="123"/>
      <c r="P122" s="101"/>
      <c r="Q122" s="101" t="n">
        <f aca="false">F122-N122</f>
        <v>44000</v>
      </c>
      <c r="R122" s="101" t="n">
        <f aca="false">G122-O122</f>
        <v>0</v>
      </c>
      <c r="S122" s="116"/>
      <c r="T122" s="52" t="n">
        <f aca="false">N122-F122</f>
        <v>-44000</v>
      </c>
      <c r="V122" s="88" t="n">
        <v>44000</v>
      </c>
    </row>
    <row r="123" customFormat="false" ht="37.5" hidden="false" customHeight="true" outlineLevel="1" collapsed="false">
      <c r="A123" s="79"/>
      <c r="B123" s="80" t="s">
        <v>126</v>
      </c>
      <c r="C123" s="79" t="n">
        <v>1</v>
      </c>
      <c r="D123" s="79" t="s">
        <v>55</v>
      </c>
      <c r="E123" s="100" t="n">
        <v>7830000</v>
      </c>
      <c r="F123" s="81" t="n">
        <f aca="false">E123*C123</f>
        <v>7830000</v>
      </c>
      <c r="G123" s="121"/>
      <c r="H123" s="122"/>
      <c r="I123" s="79"/>
      <c r="J123" s="80" t="s">
        <v>126</v>
      </c>
      <c r="K123" s="79" t="n">
        <v>1</v>
      </c>
      <c r="L123" s="79" t="s">
        <v>55</v>
      </c>
      <c r="M123" s="100" t="n">
        <v>7036000</v>
      </c>
      <c r="N123" s="81" t="n">
        <f aca="false">M123*K123</f>
        <v>7036000</v>
      </c>
      <c r="O123" s="123"/>
      <c r="P123" s="101"/>
      <c r="Q123" s="101" t="n">
        <f aca="false">F123-N123</f>
        <v>794000</v>
      </c>
      <c r="R123" s="101" t="n">
        <f aca="false">G123-O123</f>
        <v>0</v>
      </c>
      <c r="S123" s="129"/>
      <c r="T123" s="52" t="n">
        <f aca="false">N123-F123</f>
        <v>-794000</v>
      </c>
      <c r="V123" s="88" t="n">
        <v>794320</v>
      </c>
    </row>
    <row r="124" customFormat="false" ht="30" hidden="false" customHeight="true" outlineLevel="0" collapsed="false">
      <c r="A124" s="62" t="s">
        <v>127</v>
      </c>
      <c r="B124" s="63" t="s">
        <v>128</v>
      </c>
      <c r="C124" s="64"/>
      <c r="D124" s="64"/>
      <c r="E124" s="65"/>
      <c r="F124" s="66" t="n">
        <f aca="false">F125+F128</f>
        <v>7840000</v>
      </c>
      <c r="G124" s="67"/>
      <c r="H124" s="48"/>
      <c r="I124" s="62" t="s">
        <v>127</v>
      </c>
      <c r="J124" s="63" t="s">
        <v>128</v>
      </c>
      <c r="K124" s="64"/>
      <c r="L124" s="64"/>
      <c r="M124" s="65"/>
      <c r="N124" s="66" t="n">
        <f aca="false">N125+N128</f>
        <v>9088000</v>
      </c>
      <c r="O124" s="68" t="n">
        <f aca="false">O128</f>
        <v>0</v>
      </c>
      <c r="P124" s="16"/>
      <c r="Q124" s="16"/>
      <c r="R124" s="16"/>
      <c r="S124" s="130" t="s">
        <v>63</v>
      </c>
      <c r="T124" s="18"/>
      <c r="V124" s="27" t="n">
        <v>1840000</v>
      </c>
    </row>
    <row r="125" customFormat="false" ht="30" hidden="false" customHeight="true" outlineLevel="1" collapsed="false">
      <c r="A125" s="70" t="n">
        <v>521219</v>
      </c>
      <c r="B125" s="71" t="s">
        <v>73</v>
      </c>
      <c r="C125" s="70"/>
      <c r="D125" s="70"/>
      <c r="E125" s="72"/>
      <c r="F125" s="73" t="n">
        <f aca="false">F127</f>
        <v>3840000</v>
      </c>
      <c r="G125" s="74"/>
      <c r="H125" s="75"/>
      <c r="I125" s="70" t="n">
        <v>521219</v>
      </c>
      <c r="J125" s="71" t="s">
        <v>73</v>
      </c>
      <c r="K125" s="70"/>
      <c r="L125" s="70"/>
      <c r="M125" s="72"/>
      <c r="N125" s="73" t="n">
        <f aca="false">N127</f>
        <v>5088000</v>
      </c>
      <c r="O125" s="78"/>
      <c r="P125" s="18"/>
      <c r="Q125" s="18"/>
      <c r="R125" s="18"/>
      <c r="S125" s="130"/>
      <c r="T125" s="18"/>
      <c r="V125" s="27" t="n">
        <v>1840000</v>
      </c>
    </row>
    <row r="126" customFormat="false" ht="30" hidden="false" customHeight="true" outlineLevel="1" collapsed="false">
      <c r="A126" s="70"/>
      <c r="B126" s="77" t="s">
        <v>32</v>
      </c>
      <c r="C126" s="70"/>
      <c r="D126" s="70"/>
      <c r="E126" s="72"/>
      <c r="F126" s="73"/>
      <c r="G126" s="74"/>
      <c r="H126" s="75"/>
      <c r="I126" s="70"/>
      <c r="J126" s="77" t="s">
        <v>32</v>
      </c>
      <c r="K126" s="70"/>
      <c r="L126" s="70"/>
      <c r="M126" s="72"/>
      <c r="N126" s="73"/>
      <c r="O126" s="78"/>
      <c r="P126" s="18"/>
      <c r="Q126" s="18"/>
      <c r="R126" s="18"/>
      <c r="S126" s="130"/>
      <c r="T126" s="18"/>
    </row>
    <row r="127" customFormat="false" ht="46.5" hidden="false" customHeight="true" outlineLevel="1" collapsed="false">
      <c r="A127" s="107"/>
      <c r="B127" s="108" t="s">
        <v>129</v>
      </c>
      <c r="C127" s="107" t="n">
        <f aca="false">30*1*5*2</f>
        <v>300</v>
      </c>
      <c r="D127" s="107" t="s">
        <v>59</v>
      </c>
      <c r="E127" s="109" t="n">
        <v>12800</v>
      </c>
      <c r="F127" s="110" t="n">
        <f aca="false">E127*C127</f>
        <v>3840000</v>
      </c>
      <c r="G127" s="111"/>
      <c r="H127" s="112"/>
      <c r="I127" s="107"/>
      <c r="J127" s="108" t="s">
        <v>130</v>
      </c>
      <c r="K127" s="107" t="n">
        <f aca="false">32*1*5*2</f>
        <v>320</v>
      </c>
      <c r="L127" s="107" t="s">
        <v>59</v>
      </c>
      <c r="M127" s="109" t="n">
        <v>15900</v>
      </c>
      <c r="N127" s="110" t="n">
        <f aca="false">M127*K127</f>
        <v>5088000</v>
      </c>
      <c r="O127" s="113"/>
      <c r="P127" s="134"/>
      <c r="Q127" s="135"/>
      <c r="R127" s="135" t="n">
        <f aca="false">F127-N127</f>
        <v>-1248000</v>
      </c>
      <c r="S127" s="130"/>
      <c r="T127" s="52" t="n">
        <f aca="false">N127-F127</f>
        <v>1248000</v>
      </c>
      <c r="V127" s="88" t="n">
        <v>1840000</v>
      </c>
    </row>
    <row r="128" customFormat="false" ht="30" hidden="false" customHeight="true" outlineLevel="1" collapsed="false">
      <c r="A128" s="70" t="n">
        <v>524113</v>
      </c>
      <c r="B128" s="71" t="s">
        <v>40</v>
      </c>
      <c r="C128" s="70"/>
      <c r="D128" s="70"/>
      <c r="E128" s="72"/>
      <c r="F128" s="73" t="n">
        <f aca="false">SUM(F130:F130)</f>
        <v>4000000</v>
      </c>
      <c r="G128" s="74"/>
      <c r="H128" s="75"/>
      <c r="I128" s="70" t="n">
        <v>524113</v>
      </c>
      <c r="J128" s="71" t="s">
        <v>40</v>
      </c>
      <c r="K128" s="70"/>
      <c r="L128" s="70"/>
      <c r="M128" s="72"/>
      <c r="N128" s="73" t="n">
        <f aca="false">SUM(N130:N130)</f>
        <v>4000000</v>
      </c>
      <c r="O128" s="76" t="n">
        <f aca="false">SUM(O130)</f>
        <v>0</v>
      </c>
      <c r="P128" s="18"/>
      <c r="Q128" s="18"/>
      <c r="R128" s="18"/>
      <c r="S128" s="130"/>
      <c r="T128" s="18"/>
      <c r="V128" s="27" t="n">
        <v>0</v>
      </c>
    </row>
    <row r="129" customFormat="false" ht="30" hidden="false" customHeight="true" outlineLevel="1" collapsed="false">
      <c r="A129" s="70"/>
      <c r="B129" s="77" t="s">
        <v>32</v>
      </c>
      <c r="C129" s="70"/>
      <c r="D129" s="70"/>
      <c r="E129" s="72"/>
      <c r="F129" s="73"/>
      <c r="G129" s="74"/>
      <c r="H129" s="75"/>
      <c r="I129" s="70"/>
      <c r="J129" s="77" t="s">
        <v>32</v>
      </c>
      <c r="K129" s="70"/>
      <c r="L129" s="70"/>
      <c r="M129" s="72"/>
      <c r="N129" s="73"/>
      <c r="O129" s="78"/>
      <c r="P129" s="18"/>
      <c r="Q129" s="18"/>
      <c r="R129" s="18"/>
      <c r="S129" s="130"/>
      <c r="T129" s="18"/>
    </row>
    <row r="130" customFormat="false" ht="39" hidden="false" customHeight="true" outlineLevel="1" collapsed="false">
      <c r="A130" s="89"/>
      <c r="B130" s="90" t="s">
        <v>131</v>
      </c>
      <c r="C130" s="89" t="n">
        <v>1</v>
      </c>
      <c r="D130" s="89" t="s">
        <v>34</v>
      </c>
      <c r="E130" s="96" t="n">
        <v>4000000</v>
      </c>
      <c r="F130" s="91" t="n">
        <f aca="false">E130*C130</f>
        <v>4000000</v>
      </c>
      <c r="G130" s="117"/>
      <c r="H130" s="118"/>
      <c r="I130" s="89"/>
      <c r="J130" s="90" t="s">
        <v>131</v>
      </c>
      <c r="K130" s="89" t="n">
        <v>1</v>
      </c>
      <c r="L130" s="89" t="s">
        <v>34</v>
      </c>
      <c r="M130" s="96" t="n">
        <v>4000000</v>
      </c>
      <c r="N130" s="91" t="n">
        <f aca="false">M130*K130</f>
        <v>4000000</v>
      </c>
      <c r="O130" s="119"/>
      <c r="P130" s="95"/>
      <c r="Q130" s="95"/>
      <c r="R130" s="95"/>
      <c r="S130" s="130"/>
      <c r="T130" s="16"/>
      <c r="V130" s="88" t="n">
        <v>0</v>
      </c>
    </row>
    <row r="131" customFormat="false" ht="30" hidden="false" customHeight="true" outlineLevel="0" collapsed="false">
      <c r="A131" s="62" t="s">
        <v>132</v>
      </c>
      <c r="B131" s="63" t="s">
        <v>133</v>
      </c>
      <c r="C131" s="64"/>
      <c r="D131" s="64"/>
      <c r="E131" s="65"/>
      <c r="F131" s="66" t="n">
        <f aca="false">SUM(F132,F135,F141,F145)</f>
        <v>152762000</v>
      </c>
      <c r="G131" s="67"/>
      <c r="H131" s="48"/>
      <c r="I131" s="62" t="s">
        <v>132</v>
      </c>
      <c r="J131" s="63" t="s">
        <v>133</v>
      </c>
      <c r="K131" s="64"/>
      <c r="L131" s="64"/>
      <c r="M131" s="65"/>
      <c r="N131" s="66" t="n">
        <f aca="false">SUM(N132,N135,N141,N145)</f>
        <v>154378000</v>
      </c>
      <c r="O131" s="68"/>
      <c r="P131" s="16"/>
      <c r="Q131" s="16"/>
      <c r="R131" s="16"/>
      <c r="S131" s="130" t="s">
        <v>63</v>
      </c>
      <c r="T131" s="18"/>
      <c r="V131" s="27" t="n">
        <v>37004000</v>
      </c>
    </row>
    <row r="132" customFormat="false" ht="30" hidden="false" customHeight="true" outlineLevel="1" collapsed="false">
      <c r="A132" s="70" t="n">
        <v>521211</v>
      </c>
      <c r="B132" s="71" t="s">
        <v>67</v>
      </c>
      <c r="C132" s="70"/>
      <c r="D132" s="70"/>
      <c r="E132" s="72"/>
      <c r="F132" s="73" t="n">
        <f aca="false">F134</f>
        <v>2000000</v>
      </c>
      <c r="G132" s="74"/>
      <c r="H132" s="75"/>
      <c r="I132" s="70" t="n">
        <v>521211</v>
      </c>
      <c r="J132" s="71" t="s">
        <v>67</v>
      </c>
      <c r="K132" s="70"/>
      <c r="L132" s="70"/>
      <c r="M132" s="72"/>
      <c r="N132" s="73" t="n">
        <f aca="false">N134</f>
        <v>2000000</v>
      </c>
      <c r="O132" s="78"/>
      <c r="P132" s="18"/>
      <c r="Q132" s="18"/>
      <c r="R132" s="18"/>
      <c r="S132" s="130"/>
      <c r="T132" s="18"/>
      <c r="V132" s="27" t="n">
        <v>500000</v>
      </c>
    </row>
    <row r="133" customFormat="false" ht="30" hidden="false" customHeight="true" outlineLevel="1" collapsed="false">
      <c r="A133" s="70"/>
      <c r="B133" s="77" t="s">
        <v>32</v>
      </c>
      <c r="C133" s="70"/>
      <c r="D133" s="70"/>
      <c r="E133" s="72"/>
      <c r="F133" s="73"/>
      <c r="G133" s="74"/>
      <c r="H133" s="75"/>
      <c r="I133" s="70"/>
      <c r="J133" s="77" t="s">
        <v>32</v>
      </c>
      <c r="K133" s="70"/>
      <c r="L133" s="70"/>
      <c r="M133" s="72"/>
      <c r="N133" s="73"/>
      <c r="O133" s="78"/>
      <c r="P133" s="18"/>
      <c r="Q133" s="18"/>
      <c r="R133" s="18"/>
      <c r="S133" s="130"/>
      <c r="T133" s="18"/>
    </row>
    <row r="134" customFormat="false" ht="30" hidden="false" customHeight="true" outlineLevel="1" collapsed="false">
      <c r="A134" s="70"/>
      <c r="B134" s="77" t="s">
        <v>134</v>
      </c>
      <c r="C134" s="70" t="n">
        <v>4</v>
      </c>
      <c r="D134" s="70" t="s">
        <v>71</v>
      </c>
      <c r="E134" s="72" t="n">
        <v>500000</v>
      </c>
      <c r="F134" s="73" t="n">
        <f aca="false">E134*C134</f>
        <v>2000000</v>
      </c>
      <c r="G134" s="74"/>
      <c r="H134" s="75"/>
      <c r="I134" s="70"/>
      <c r="J134" s="77" t="s">
        <v>134</v>
      </c>
      <c r="K134" s="70" t="n">
        <v>4</v>
      </c>
      <c r="L134" s="70" t="s">
        <v>71</v>
      </c>
      <c r="M134" s="72" t="n">
        <v>500000</v>
      </c>
      <c r="N134" s="73" t="n">
        <f aca="false">M134*K134</f>
        <v>2000000</v>
      </c>
      <c r="O134" s="78"/>
      <c r="P134" s="18"/>
      <c r="Q134" s="18"/>
      <c r="R134" s="18"/>
      <c r="S134" s="130"/>
      <c r="T134" s="18"/>
      <c r="V134" s="88" t="n">
        <v>500000</v>
      </c>
    </row>
    <row r="135" customFormat="false" ht="30" hidden="false" customHeight="true" outlineLevel="1" collapsed="false">
      <c r="A135" s="70" t="n">
        <v>521219</v>
      </c>
      <c r="B135" s="71" t="s">
        <v>73</v>
      </c>
      <c r="C135" s="70"/>
      <c r="D135" s="70"/>
      <c r="E135" s="72"/>
      <c r="F135" s="73" t="n">
        <f aca="false">SUM(F137:F140)</f>
        <v>23568000</v>
      </c>
      <c r="G135" s="74"/>
      <c r="H135" s="75"/>
      <c r="I135" s="70" t="n">
        <v>521219</v>
      </c>
      <c r="J135" s="71" t="s">
        <v>73</v>
      </c>
      <c r="K135" s="70"/>
      <c r="L135" s="70"/>
      <c r="M135" s="72"/>
      <c r="N135" s="73" t="n">
        <f aca="false">SUM(N137:N140)</f>
        <v>21684000</v>
      </c>
      <c r="O135" s="76"/>
      <c r="P135" s="18"/>
      <c r="Q135" s="18"/>
      <c r="R135" s="18"/>
      <c r="S135" s="130"/>
      <c r="T135" s="18"/>
      <c r="V135" s="27" t="n">
        <v>4538000</v>
      </c>
    </row>
    <row r="136" customFormat="false" ht="30" hidden="false" customHeight="true" outlineLevel="1" collapsed="false">
      <c r="A136" s="70"/>
      <c r="B136" s="77" t="s">
        <v>32</v>
      </c>
      <c r="C136" s="70"/>
      <c r="D136" s="70"/>
      <c r="E136" s="72"/>
      <c r="F136" s="73"/>
      <c r="G136" s="74"/>
      <c r="H136" s="75"/>
      <c r="I136" s="70"/>
      <c r="J136" s="77" t="s">
        <v>32</v>
      </c>
      <c r="K136" s="70"/>
      <c r="L136" s="70"/>
      <c r="M136" s="72"/>
      <c r="N136" s="73"/>
      <c r="O136" s="78"/>
      <c r="P136" s="18"/>
      <c r="Q136" s="18"/>
      <c r="R136" s="18"/>
      <c r="S136" s="130"/>
      <c r="T136" s="18"/>
    </row>
    <row r="137" customFormat="false" ht="30" hidden="false" customHeight="true" outlineLevel="1" collapsed="false">
      <c r="A137" s="89"/>
      <c r="B137" s="90" t="s">
        <v>135</v>
      </c>
      <c r="C137" s="89" t="n">
        <v>1</v>
      </c>
      <c r="D137" s="89" t="s">
        <v>55</v>
      </c>
      <c r="E137" s="96" t="n">
        <v>5530000</v>
      </c>
      <c r="F137" s="91" t="n">
        <f aca="false">E137*C137</f>
        <v>5530000</v>
      </c>
      <c r="G137" s="117" t="s">
        <v>39</v>
      </c>
      <c r="H137" s="118"/>
      <c r="I137" s="89"/>
      <c r="J137" s="90" t="s">
        <v>135</v>
      </c>
      <c r="K137" s="89" t="n">
        <v>1</v>
      </c>
      <c r="L137" s="89" t="s">
        <v>55</v>
      </c>
      <c r="M137" s="96" t="n">
        <v>5530000</v>
      </c>
      <c r="N137" s="91" t="n">
        <f aca="false">M137*K137</f>
        <v>5530000</v>
      </c>
      <c r="O137" s="97"/>
      <c r="P137" s="94" t="n">
        <v>5530000</v>
      </c>
      <c r="Q137" s="69"/>
      <c r="R137" s="69"/>
      <c r="S137" s="130"/>
      <c r="T137" s="16"/>
      <c r="V137" s="88" t="n">
        <v>0</v>
      </c>
    </row>
    <row r="138" customFormat="false" ht="30" hidden="false" customHeight="true" outlineLevel="1" collapsed="false">
      <c r="A138" s="79"/>
      <c r="B138" s="80" t="s">
        <v>136</v>
      </c>
      <c r="C138" s="79" t="n">
        <f aca="false">40*1*3*4</f>
        <v>480</v>
      </c>
      <c r="D138" s="79" t="s">
        <v>59</v>
      </c>
      <c r="E138" s="100" t="n">
        <v>12800</v>
      </c>
      <c r="F138" s="81" t="n">
        <f aca="false">E138*C138</f>
        <v>6144000</v>
      </c>
      <c r="G138" s="121"/>
      <c r="H138" s="122"/>
      <c r="I138" s="79"/>
      <c r="J138" s="80" t="s">
        <v>137</v>
      </c>
      <c r="K138" s="79" t="n">
        <f aca="false">25*3*4</f>
        <v>300</v>
      </c>
      <c r="L138" s="79" t="s">
        <v>59</v>
      </c>
      <c r="M138" s="100" t="n">
        <v>14200</v>
      </c>
      <c r="N138" s="81" t="n">
        <f aca="false">M138*K138</f>
        <v>4260000</v>
      </c>
      <c r="O138" s="84"/>
      <c r="P138" s="105"/>
      <c r="Q138" s="105"/>
      <c r="R138" s="136" t="n">
        <f aca="false">F138-N138</f>
        <v>1884000</v>
      </c>
      <c r="S138" s="130"/>
      <c r="T138" s="52" t="n">
        <f aca="false">N138-F138</f>
        <v>-1884000</v>
      </c>
      <c r="V138" s="88" t="n">
        <v>1894000</v>
      </c>
    </row>
    <row r="139" customFormat="false" ht="30" hidden="false" customHeight="true" outlineLevel="1" collapsed="false">
      <c r="A139" s="70"/>
      <c r="B139" s="77" t="s">
        <v>138</v>
      </c>
      <c r="C139" s="70" t="n">
        <f aca="false">40*1*3*4</f>
        <v>480</v>
      </c>
      <c r="D139" s="70" t="s">
        <v>59</v>
      </c>
      <c r="E139" s="72" t="n">
        <v>12800</v>
      </c>
      <c r="F139" s="73" t="n">
        <f aca="false">E139*C139</f>
        <v>6144000</v>
      </c>
      <c r="G139" s="74"/>
      <c r="H139" s="75"/>
      <c r="I139" s="70"/>
      <c r="J139" s="77" t="s">
        <v>138</v>
      </c>
      <c r="K139" s="70" t="n">
        <f aca="false">40*1*3*4</f>
        <v>480</v>
      </c>
      <c r="L139" s="70" t="s">
        <v>59</v>
      </c>
      <c r="M139" s="72" t="n">
        <v>12800</v>
      </c>
      <c r="N139" s="73" t="n">
        <f aca="false">M139*K139</f>
        <v>6144000</v>
      </c>
      <c r="O139" s="78"/>
      <c r="P139" s="18"/>
      <c r="Q139" s="18"/>
      <c r="R139" s="18"/>
      <c r="S139" s="130"/>
      <c r="T139" s="18"/>
      <c r="V139" s="88" t="n">
        <v>2644000</v>
      </c>
    </row>
    <row r="140" customFormat="false" ht="30" hidden="false" customHeight="true" outlineLevel="1" collapsed="false">
      <c r="A140" s="70"/>
      <c r="B140" s="77" t="s">
        <v>139</v>
      </c>
      <c r="C140" s="70" t="n">
        <f aca="false">10*1*1</f>
        <v>10</v>
      </c>
      <c r="D140" s="70" t="s">
        <v>49</v>
      </c>
      <c r="E140" s="72" t="n">
        <v>575000</v>
      </c>
      <c r="F140" s="73" t="n">
        <f aca="false">E140*C140</f>
        <v>5750000</v>
      </c>
      <c r="G140" s="74"/>
      <c r="H140" s="75"/>
      <c r="I140" s="70"/>
      <c r="J140" s="77" t="s">
        <v>139</v>
      </c>
      <c r="K140" s="70" t="n">
        <f aca="false">10*1*1</f>
        <v>10</v>
      </c>
      <c r="L140" s="70" t="s">
        <v>49</v>
      </c>
      <c r="M140" s="72" t="n">
        <v>575000</v>
      </c>
      <c r="N140" s="73" t="n">
        <f aca="false">M140*K140</f>
        <v>5750000</v>
      </c>
      <c r="O140" s="78"/>
      <c r="P140" s="18"/>
      <c r="Q140" s="18"/>
      <c r="R140" s="18"/>
      <c r="S140" s="130"/>
      <c r="T140" s="18"/>
      <c r="V140" s="88" t="n">
        <v>0</v>
      </c>
    </row>
    <row r="141" customFormat="false" ht="30" hidden="false" customHeight="true" outlineLevel="1" collapsed="false">
      <c r="A141" s="70" t="n">
        <v>522141</v>
      </c>
      <c r="B141" s="71" t="s">
        <v>79</v>
      </c>
      <c r="C141" s="70"/>
      <c r="D141" s="70"/>
      <c r="E141" s="72"/>
      <c r="F141" s="73" t="n">
        <f aca="false">SUM(F143:F144)</f>
        <v>35544000</v>
      </c>
      <c r="G141" s="74"/>
      <c r="H141" s="75"/>
      <c r="I141" s="70" t="n">
        <v>522141</v>
      </c>
      <c r="J141" s="71" t="s">
        <v>79</v>
      </c>
      <c r="K141" s="70"/>
      <c r="L141" s="70"/>
      <c r="M141" s="72"/>
      <c r="N141" s="73" t="n">
        <f aca="false">SUM(N143:N144)</f>
        <v>39044000</v>
      </c>
      <c r="O141" s="78"/>
      <c r="P141" s="18"/>
      <c r="Q141" s="18"/>
      <c r="R141" s="18"/>
      <c r="S141" s="130"/>
      <c r="T141" s="18"/>
      <c r="V141" s="27" t="n">
        <v>7136000</v>
      </c>
    </row>
    <row r="142" customFormat="false" ht="30" hidden="false" customHeight="true" outlineLevel="1" collapsed="false">
      <c r="A142" s="70"/>
      <c r="B142" s="77" t="s">
        <v>32</v>
      </c>
      <c r="C142" s="70"/>
      <c r="D142" s="70"/>
      <c r="E142" s="72"/>
      <c r="F142" s="73"/>
      <c r="G142" s="74"/>
      <c r="H142" s="75"/>
      <c r="I142" s="70"/>
      <c r="J142" s="77" t="s">
        <v>32</v>
      </c>
      <c r="K142" s="70"/>
      <c r="L142" s="70"/>
      <c r="M142" s="72"/>
      <c r="N142" s="73"/>
      <c r="O142" s="78"/>
      <c r="P142" s="18"/>
      <c r="Q142" s="18"/>
      <c r="R142" s="18"/>
      <c r="S142" s="130"/>
      <c r="T142" s="18"/>
    </row>
    <row r="143" customFormat="false" ht="30" hidden="false" customHeight="true" outlineLevel="1" collapsed="false">
      <c r="A143" s="70"/>
      <c r="B143" s="77" t="s">
        <v>140</v>
      </c>
      <c r="C143" s="70" t="n">
        <f aca="false">1*3*4</f>
        <v>12</v>
      </c>
      <c r="D143" s="70" t="s">
        <v>123</v>
      </c>
      <c r="E143" s="72" t="n">
        <v>1212000</v>
      </c>
      <c r="F143" s="73" t="n">
        <f aca="false">E143*C143</f>
        <v>14544000</v>
      </c>
      <c r="G143" s="74"/>
      <c r="H143" s="75"/>
      <c r="I143" s="70"/>
      <c r="J143" s="77" t="s">
        <v>140</v>
      </c>
      <c r="K143" s="70" t="n">
        <f aca="false">1*3*4</f>
        <v>12</v>
      </c>
      <c r="L143" s="70" t="s">
        <v>123</v>
      </c>
      <c r="M143" s="72" t="n">
        <v>1212000</v>
      </c>
      <c r="N143" s="73" t="n">
        <f aca="false">M143*K143</f>
        <v>14544000</v>
      </c>
      <c r="O143" s="78"/>
      <c r="P143" s="18"/>
      <c r="Q143" s="18"/>
      <c r="R143" s="18"/>
      <c r="S143" s="130"/>
      <c r="T143" s="18"/>
      <c r="V143" s="88" t="n">
        <v>3636000</v>
      </c>
    </row>
    <row r="144" customFormat="false" ht="30" hidden="false" customHeight="true" outlineLevel="1" collapsed="false">
      <c r="A144" s="107"/>
      <c r="B144" s="108" t="s">
        <v>141</v>
      </c>
      <c r="C144" s="107" t="n">
        <f aca="false">30*1*4</f>
        <v>120</v>
      </c>
      <c r="D144" s="107" t="s">
        <v>123</v>
      </c>
      <c r="E144" s="109" t="n">
        <v>175000</v>
      </c>
      <c r="F144" s="110" t="n">
        <f aca="false">E144*C144</f>
        <v>21000000</v>
      </c>
      <c r="G144" s="111"/>
      <c r="H144" s="112"/>
      <c r="I144" s="107"/>
      <c r="J144" s="108" t="s">
        <v>142</v>
      </c>
      <c r="K144" s="107" t="n">
        <f aca="false">35*1*4</f>
        <v>140</v>
      </c>
      <c r="L144" s="107" t="s">
        <v>123</v>
      </c>
      <c r="M144" s="109" t="n">
        <v>175000</v>
      </c>
      <c r="N144" s="110" t="n">
        <f aca="false">M144*K144</f>
        <v>24500000</v>
      </c>
      <c r="O144" s="113"/>
      <c r="P144" s="114"/>
      <c r="Q144" s="114"/>
      <c r="R144" s="115" t="n">
        <f aca="false">F144-N144</f>
        <v>-3500000</v>
      </c>
      <c r="S144" s="130"/>
      <c r="T144" s="52" t="n">
        <f aca="false">N144-F144</f>
        <v>3500000</v>
      </c>
      <c r="V144" s="88" t="n">
        <v>3500000</v>
      </c>
    </row>
    <row r="145" customFormat="false" ht="30" hidden="false" customHeight="true" outlineLevel="1" collapsed="false">
      <c r="A145" s="70" t="n">
        <v>524119</v>
      </c>
      <c r="B145" s="71" t="s">
        <v>44</v>
      </c>
      <c r="C145" s="70"/>
      <c r="D145" s="70"/>
      <c r="E145" s="72"/>
      <c r="F145" s="73" t="n">
        <f aca="false">SUM(F147:F149)</f>
        <v>91650000</v>
      </c>
      <c r="G145" s="74"/>
      <c r="H145" s="75"/>
      <c r="I145" s="70" t="n">
        <v>524119</v>
      </c>
      <c r="J145" s="71" t="s">
        <v>44</v>
      </c>
      <c r="K145" s="70"/>
      <c r="L145" s="70"/>
      <c r="M145" s="72"/>
      <c r="N145" s="73" t="n">
        <f aca="false">SUM(N147:N149)</f>
        <v>91650000</v>
      </c>
      <c r="O145" s="76" t="n">
        <f aca="false">SUM(O147:O149)</f>
        <v>0</v>
      </c>
      <c r="P145" s="18"/>
      <c r="Q145" s="18"/>
      <c r="R145" s="18"/>
      <c r="S145" s="130"/>
      <c r="T145" s="18"/>
      <c r="V145" s="27" t="n">
        <v>24830000</v>
      </c>
    </row>
    <row r="146" customFormat="false" ht="30" hidden="false" customHeight="true" outlineLevel="1" collapsed="false">
      <c r="A146" s="70"/>
      <c r="B146" s="77" t="s">
        <v>32</v>
      </c>
      <c r="C146" s="70"/>
      <c r="D146" s="70"/>
      <c r="E146" s="72"/>
      <c r="F146" s="73"/>
      <c r="G146" s="74"/>
      <c r="H146" s="75"/>
      <c r="I146" s="70"/>
      <c r="J146" s="77" t="s">
        <v>32</v>
      </c>
      <c r="K146" s="70"/>
      <c r="L146" s="70"/>
      <c r="M146" s="72"/>
      <c r="N146" s="73"/>
      <c r="O146" s="78"/>
      <c r="P146" s="18"/>
      <c r="Q146" s="18"/>
      <c r="R146" s="18"/>
      <c r="S146" s="130"/>
      <c r="T146" s="18"/>
    </row>
    <row r="147" customFormat="false" ht="39" hidden="false" customHeight="true" outlineLevel="1" collapsed="false">
      <c r="A147" s="89"/>
      <c r="B147" s="90" t="s">
        <v>143</v>
      </c>
      <c r="C147" s="89" t="n">
        <v>1</v>
      </c>
      <c r="D147" s="89" t="s">
        <v>55</v>
      </c>
      <c r="E147" s="96" t="n">
        <v>54560000</v>
      </c>
      <c r="F147" s="91" t="n">
        <f aca="false">E147*C147</f>
        <v>54560000</v>
      </c>
      <c r="G147" s="117"/>
      <c r="H147" s="118"/>
      <c r="I147" s="89"/>
      <c r="J147" s="90" t="s">
        <v>143</v>
      </c>
      <c r="K147" s="89" t="n">
        <v>1</v>
      </c>
      <c r="L147" s="89" t="s">
        <v>55</v>
      </c>
      <c r="M147" s="96" t="n">
        <v>54560000</v>
      </c>
      <c r="N147" s="91" t="n">
        <f aca="false">M147*K147</f>
        <v>54560000</v>
      </c>
      <c r="O147" s="119"/>
      <c r="P147" s="95"/>
      <c r="Q147" s="95"/>
      <c r="R147" s="95"/>
      <c r="S147" s="130"/>
      <c r="T147" s="16"/>
      <c r="V147" s="88" t="n">
        <v>14090000</v>
      </c>
    </row>
    <row r="148" customFormat="false" ht="39" hidden="false" customHeight="true" outlineLevel="1" collapsed="false">
      <c r="A148" s="70"/>
      <c r="B148" s="77" t="s">
        <v>144</v>
      </c>
      <c r="C148" s="70" t="n">
        <v>1</v>
      </c>
      <c r="D148" s="70" t="s">
        <v>55</v>
      </c>
      <c r="E148" s="72" t="n">
        <v>23090000</v>
      </c>
      <c r="F148" s="73" t="n">
        <f aca="false">E148*C148</f>
        <v>23090000</v>
      </c>
      <c r="G148" s="74"/>
      <c r="H148" s="75"/>
      <c r="I148" s="70"/>
      <c r="J148" s="77" t="s">
        <v>144</v>
      </c>
      <c r="K148" s="70" t="n">
        <v>1</v>
      </c>
      <c r="L148" s="70" t="s">
        <v>55</v>
      </c>
      <c r="M148" s="72" t="n">
        <v>23090000</v>
      </c>
      <c r="N148" s="73" t="n">
        <f aca="false">M148*K148</f>
        <v>23090000</v>
      </c>
      <c r="O148" s="137"/>
      <c r="P148" s="36"/>
      <c r="Q148" s="36" t="n">
        <f aca="false">F148-N148</f>
        <v>0</v>
      </c>
      <c r="R148" s="36"/>
      <c r="S148" s="130"/>
      <c r="T148" s="18"/>
      <c r="V148" s="88" t="n">
        <v>6690000</v>
      </c>
    </row>
    <row r="149" customFormat="false" ht="39" hidden="false" customHeight="true" outlineLevel="1" collapsed="false">
      <c r="A149" s="89"/>
      <c r="B149" s="90" t="s">
        <v>145</v>
      </c>
      <c r="C149" s="89" t="n">
        <v>1</v>
      </c>
      <c r="D149" s="89" t="s">
        <v>55</v>
      </c>
      <c r="E149" s="96" t="n">
        <v>14000000</v>
      </c>
      <c r="F149" s="91" t="n">
        <f aca="false">E149*C149</f>
        <v>14000000</v>
      </c>
      <c r="G149" s="117"/>
      <c r="H149" s="118"/>
      <c r="I149" s="89"/>
      <c r="J149" s="90" t="s">
        <v>145</v>
      </c>
      <c r="K149" s="89" t="n">
        <v>1</v>
      </c>
      <c r="L149" s="89" t="s">
        <v>55</v>
      </c>
      <c r="M149" s="96" t="n">
        <v>14000000</v>
      </c>
      <c r="N149" s="91" t="n">
        <f aca="false">M149*K149</f>
        <v>14000000</v>
      </c>
      <c r="O149" s="119"/>
      <c r="P149" s="95"/>
      <c r="Q149" s="95"/>
      <c r="R149" s="95"/>
      <c r="S149" s="129"/>
      <c r="T149" s="16"/>
      <c r="V149" s="88" t="n">
        <v>4050000</v>
      </c>
    </row>
    <row r="150" customFormat="false" ht="30" hidden="false" customHeight="true" outlineLevel="0" collapsed="false">
      <c r="A150" s="62" t="s">
        <v>146</v>
      </c>
      <c r="B150" s="63" t="s">
        <v>147</v>
      </c>
      <c r="C150" s="64"/>
      <c r="D150" s="64"/>
      <c r="E150" s="65"/>
      <c r="F150" s="66" t="n">
        <f aca="false">SUM(F151,F155)</f>
        <v>65600000</v>
      </c>
      <c r="G150" s="67"/>
      <c r="H150" s="48"/>
      <c r="I150" s="62" t="s">
        <v>146</v>
      </c>
      <c r="J150" s="63" t="s">
        <v>147</v>
      </c>
      <c r="K150" s="64"/>
      <c r="L150" s="64"/>
      <c r="M150" s="65"/>
      <c r="N150" s="66" t="n">
        <f aca="false">SUM(N151,N155)</f>
        <v>53100000</v>
      </c>
      <c r="O150" s="68" t="n">
        <f aca="false">SUM(O151,O155,O158,O161,O164,O168)</f>
        <v>0</v>
      </c>
      <c r="P150" s="16"/>
      <c r="Q150" s="16"/>
      <c r="R150" s="16"/>
      <c r="S150" s="138"/>
      <c r="T150" s="18"/>
      <c r="V150" s="27" t="n">
        <v>29230000</v>
      </c>
    </row>
    <row r="151" customFormat="false" ht="30" hidden="false" customHeight="true" outlineLevel="1" collapsed="false">
      <c r="A151" s="70" t="n">
        <v>521219</v>
      </c>
      <c r="B151" s="71" t="s">
        <v>53</v>
      </c>
      <c r="C151" s="70"/>
      <c r="D151" s="70"/>
      <c r="E151" s="72"/>
      <c r="F151" s="73" t="n">
        <f aca="false">SUM(F153,F154)</f>
        <v>21600000</v>
      </c>
      <c r="G151" s="74"/>
      <c r="H151" s="75"/>
      <c r="I151" s="70" t="n">
        <v>521219</v>
      </c>
      <c r="J151" s="71" t="s">
        <v>53</v>
      </c>
      <c r="K151" s="70"/>
      <c r="L151" s="70"/>
      <c r="M151" s="72"/>
      <c r="N151" s="73" t="n">
        <f aca="false">SUM(N153,N154)</f>
        <v>21600000</v>
      </c>
      <c r="O151" s="78"/>
      <c r="P151" s="18"/>
      <c r="Q151" s="18"/>
      <c r="R151" s="18"/>
      <c r="S151" s="138"/>
      <c r="T151" s="18"/>
      <c r="V151" s="27" t="n">
        <f aca="false">SUM(V153:V154)</f>
        <v>9730000</v>
      </c>
    </row>
    <row r="152" customFormat="false" ht="30" hidden="false" customHeight="true" outlineLevel="1" collapsed="false">
      <c r="A152" s="70"/>
      <c r="B152" s="77" t="s">
        <v>32</v>
      </c>
      <c r="C152" s="70"/>
      <c r="D152" s="70"/>
      <c r="E152" s="72"/>
      <c r="F152" s="73"/>
      <c r="G152" s="74"/>
      <c r="H152" s="75"/>
      <c r="I152" s="70"/>
      <c r="J152" s="77" t="s">
        <v>32</v>
      </c>
      <c r="K152" s="70"/>
      <c r="L152" s="70"/>
      <c r="M152" s="72"/>
      <c r="N152" s="73"/>
      <c r="O152" s="78"/>
      <c r="P152" s="18"/>
      <c r="Q152" s="18"/>
      <c r="R152" s="18"/>
      <c r="S152" s="138"/>
      <c r="T152" s="18"/>
    </row>
    <row r="153" customFormat="false" ht="30" hidden="false" customHeight="true" outlineLevel="1" collapsed="false">
      <c r="A153" s="70"/>
      <c r="B153" s="77" t="s">
        <v>148</v>
      </c>
      <c r="C153" s="70" t="n">
        <f aca="false">60*5</f>
        <v>300</v>
      </c>
      <c r="D153" s="70" t="s">
        <v>49</v>
      </c>
      <c r="E153" s="72" t="n">
        <v>23000</v>
      </c>
      <c r="F153" s="73" t="n">
        <f aca="false">E153*C153</f>
        <v>6900000</v>
      </c>
      <c r="G153" s="98"/>
      <c r="H153" s="99"/>
      <c r="I153" s="70"/>
      <c r="J153" s="77" t="s">
        <v>148</v>
      </c>
      <c r="K153" s="70" t="n">
        <f aca="false">60*5</f>
        <v>300</v>
      </c>
      <c r="L153" s="70" t="s">
        <v>49</v>
      </c>
      <c r="M153" s="72" t="n">
        <v>23000</v>
      </c>
      <c r="N153" s="73" t="n">
        <f aca="false">M153*K153</f>
        <v>6900000</v>
      </c>
      <c r="O153" s="76"/>
      <c r="P153" s="18"/>
      <c r="Q153" s="18"/>
      <c r="R153" s="18"/>
      <c r="S153" s="138"/>
      <c r="T153" s="18"/>
      <c r="V153" s="88" t="n">
        <v>2530000</v>
      </c>
    </row>
    <row r="154" customFormat="false" ht="30" hidden="false" customHeight="true" outlineLevel="1" collapsed="false">
      <c r="A154" s="70"/>
      <c r="B154" s="77" t="s">
        <v>149</v>
      </c>
      <c r="C154" s="70" t="n">
        <f aca="false">60*5</f>
        <v>300</v>
      </c>
      <c r="D154" s="70" t="s">
        <v>49</v>
      </c>
      <c r="E154" s="72" t="n">
        <v>49000</v>
      </c>
      <c r="F154" s="73" t="n">
        <f aca="false">E154*C154</f>
        <v>14700000</v>
      </c>
      <c r="G154" s="98"/>
      <c r="H154" s="99"/>
      <c r="I154" s="70"/>
      <c r="J154" s="77" t="s">
        <v>149</v>
      </c>
      <c r="K154" s="70" t="n">
        <f aca="false">60*5</f>
        <v>300</v>
      </c>
      <c r="L154" s="70" t="s">
        <v>49</v>
      </c>
      <c r="M154" s="72" t="n">
        <v>49000</v>
      </c>
      <c r="N154" s="73" t="n">
        <f aca="false">M154*K154</f>
        <v>14700000</v>
      </c>
      <c r="O154" s="76"/>
      <c r="P154" s="18"/>
      <c r="Q154" s="18"/>
      <c r="R154" s="18"/>
      <c r="S154" s="138"/>
      <c r="T154" s="18"/>
      <c r="V154" s="88" t="n">
        <v>7200000</v>
      </c>
    </row>
    <row r="155" customFormat="false" ht="30" hidden="false" customHeight="true" outlineLevel="1" collapsed="false">
      <c r="A155" s="70" t="n">
        <v>522141</v>
      </c>
      <c r="B155" s="71" t="s">
        <v>79</v>
      </c>
      <c r="C155" s="70"/>
      <c r="D155" s="70"/>
      <c r="E155" s="72"/>
      <c r="F155" s="73" t="n">
        <f aca="false">SUM(F157:F157)</f>
        <v>44000000</v>
      </c>
      <c r="G155" s="74"/>
      <c r="H155" s="75"/>
      <c r="I155" s="70" t="n">
        <v>522141</v>
      </c>
      <c r="J155" s="71" t="s">
        <v>79</v>
      </c>
      <c r="K155" s="70"/>
      <c r="L155" s="70"/>
      <c r="M155" s="72"/>
      <c r="N155" s="73" t="n">
        <f aca="false">SUM(N157:N157)</f>
        <v>31500000</v>
      </c>
      <c r="O155" s="76" t="n">
        <f aca="false">SUM(O157)</f>
        <v>0</v>
      </c>
      <c r="P155" s="128"/>
      <c r="Q155" s="128"/>
      <c r="R155" s="128"/>
      <c r="S155" s="138"/>
      <c r="T155" s="18"/>
      <c r="V155" s="27" t="n">
        <v>19500000</v>
      </c>
    </row>
    <row r="156" customFormat="false" ht="30" hidden="false" customHeight="true" outlineLevel="1" collapsed="false">
      <c r="A156" s="70"/>
      <c r="B156" s="77" t="s">
        <v>32</v>
      </c>
      <c r="C156" s="70"/>
      <c r="D156" s="70"/>
      <c r="E156" s="72"/>
      <c r="F156" s="73"/>
      <c r="G156" s="74"/>
      <c r="H156" s="75"/>
      <c r="I156" s="70"/>
      <c r="J156" s="77" t="s">
        <v>32</v>
      </c>
      <c r="K156" s="70"/>
      <c r="L156" s="70"/>
      <c r="M156" s="72"/>
      <c r="N156" s="73"/>
      <c r="O156" s="78"/>
      <c r="P156" s="18"/>
      <c r="Q156" s="18"/>
      <c r="R156" s="18"/>
      <c r="S156" s="138"/>
      <c r="T156" s="18"/>
    </row>
    <row r="157" customFormat="false" ht="30" hidden="false" customHeight="true" outlineLevel="1" collapsed="false">
      <c r="A157" s="79"/>
      <c r="B157" s="80" t="s">
        <v>150</v>
      </c>
      <c r="C157" s="79" t="n">
        <f aca="false">40*1*4</f>
        <v>160</v>
      </c>
      <c r="D157" s="79" t="s">
        <v>151</v>
      </c>
      <c r="E157" s="100" t="n">
        <v>275000</v>
      </c>
      <c r="F157" s="81" t="n">
        <f aca="false">C157*E157</f>
        <v>44000000</v>
      </c>
      <c r="G157" s="82"/>
      <c r="H157" s="83"/>
      <c r="I157" s="79"/>
      <c r="J157" s="80" t="s">
        <v>152</v>
      </c>
      <c r="K157" s="79" t="n">
        <f aca="false">36*1*5</f>
        <v>180</v>
      </c>
      <c r="L157" s="79" t="s">
        <v>151</v>
      </c>
      <c r="M157" s="100" t="n">
        <v>175000</v>
      </c>
      <c r="N157" s="81" t="n">
        <f aca="false">K157*M157</f>
        <v>31500000</v>
      </c>
      <c r="O157" s="123"/>
      <c r="P157" s="139"/>
      <c r="Q157" s="139"/>
      <c r="R157" s="140" t="n">
        <f aca="false">F157-N157</f>
        <v>12500000</v>
      </c>
      <c r="S157" s="138"/>
      <c r="T157" s="52" t="n">
        <f aca="false">N157-F157</f>
        <v>-12500000</v>
      </c>
      <c r="V157" s="88" t="n">
        <v>19500000</v>
      </c>
    </row>
    <row r="158" customFormat="false" ht="49.5" hidden="false" customHeight="true" outlineLevel="0" collapsed="false">
      <c r="A158" s="62" t="s">
        <v>153</v>
      </c>
      <c r="B158" s="63" t="s">
        <v>154</v>
      </c>
      <c r="C158" s="64"/>
      <c r="D158" s="64"/>
      <c r="E158" s="65"/>
      <c r="F158" s="66" t="n">
        <f aca="false">F159+F162+F168+F171+F177+F181</f>
        <v>117232000</v>
      </c>
      <c r="G158" s="67"/>
      <c r="H158" s="48"/>
      <c r="I158" s="62" t="s">
        <v>153</v>
      </c>
      <c r="J158" s="63" t="s">
        <v>154</v>
      </c>
      <c r="K158" s="64"/>
      <c r="L158" s="64"/>
      <c r="M158" s="65"/>
      <c r="N158" s="66" t="n">
        <f aca="false">N159+N162+N168+N171+N177+N181+N174</f>
        <v>159362000</v>
      </c>
      <c r="O158" s="68" t="n">
        <f aca="false">SUM(O159,O162,O168,O171,O177,O181)</f>
        <v>0</v>
      </c>
      <c r="P158" s="16"/>
      <c r="Q158" s="16"/>
      <c r="R158" s="16"/>
      <c r="S158" s="141" t="s">
        <v>155</v>
      </c>
      <c r="T158" s="18"/>
      <c r="V158" s="27" t="n">
        <v>115216000</v>
      </c>
    </row>
    <row r="159" customFormat="false" ht="30" hidden="false" customHeight="true" outlineLevel="1" collapsed="false">
      <c r="A159" s="70" t="n">
        <v>521211</v>
      </c>
      <c r="B159" s="71" t="s">
        <v>67</v>
      </c>
      <c r="C159" s="70"/>
      <c r="D159" s="70"/>
      <c r="E159" s="72"/>
      <c r="F159" s="73" t="n">
        <f aca="false">F161</f>
        <v>400000</v>
      </c>
      <c r="G159" s="74"/>
      <c r="H159" s="75"/>
      <c r="I159" s="70" t="n">
        <v>521211</v>
      </c>
      <c r="J159" s="71" t="s">
        <v>67</v>
      </c>
      <c r="K159" s="70"/>
      <c r="L159" s="70"/>
      <c r="M159" s="72"/>
      <c r="N159" s="73" t="n">
        <f aca="false">SUM(N161:N161)</f>
        <v>18300000</v>
      </c>
      <c r="O159" s="78"/>
      <c r="P159" s="18"/>
      <c r="Q159" s="18"/>
      <c r="R159" s="18"/>
      <c r="S159" s="141"/>
      <c r="T159" s="18"/>
      <c r="V159" s="27" t="n">
        <v>400000</v>
      </c>
    </row>
    <row r="160" customFormat="false" ht="30" hidden="false" customHeight="true" outlineLevel="1" collapsed="false">
      <c r="A160" s="70"/>
      <c r="B160" s="77" t="s">
        <v>32</v>
      </c>
      <c r="C160" s="70"/>
      <c r="D160" s="70"/>
      <c r="E160" s="72"/>
      <c r="F160" s="73"/>
      <c r="G160" s="74"/>
      <c r="H160" s="75"/>
      <c r="I160" s="70"/>
      <c r="J160" s="77" t="s">
        <v>32</v>
      </c>
      <c r="K160" s="70"/>
      <c r="L160" s="70"/>
      <c r="M160" s="72"/>
      <c r="N160" s="73"/>
      <c r="O160" s="78"/>
      <c r="P160" s="18"/>
      <c r="Q160" s="18"/>
      <c r="R160" s="18"/>
      <c r="S160" s="141"/>
      <c r="T160" s="18"/>
    </row>
    <row r="161" customFormat="false" ht="30" hidden="false" customHeight="true" outlineLevel="1" collapsed="false">
      <c r="A161" s="107"/>
      <c r="B161" s="108" t="s">
        <v>156</v>
      </c>
      <c r="C161" s="107" t="n">
        <v>1</v>
      </c>
      <c r="D161" s="107" t="s">
        <v>101</v>
      </c>
      <c r="E161" s="109" t="n">
        <v>400000</v>
      </c>
      <c r="F161" s="110" t="n">
        <f aca="false">E161*C161</f>
        <v>400000</v>
      </c>
      <c r="G161" s="142"/>
      <c r="H161" s="143"/>
      <c r="I161" s="107"/>
      <c r="J161" s="108" t="s">
        <v>157</v>
      </c>
      <c r="K161" s="107" t="n">
        <v>60</v>
      </c>
      <c r="L161" s="107" t="s">
        <v>49</v>
      </c>
      <c r="M161" s="109" t="n">
        <v>305000</v>
      </c>
      <c r="N161" s="110" t="n">
        <f aca="false">M161*K161</f>
        <v>18300000</v>
      </c>
      <c r="O161" s="76"/>
      <c r="P161" s="18"/>
      <c r="Q161" s="18"/>
      <c r="R161" s="128" t="n">
        <f aca="false">F161-N161</f>
        <v>-17900000</v>
      </c>
      <c r="S161" s="141"/>
      <c r="T161" s="128" t="n">
        <f aca="false">N161-F161</f>
        <v>17900000</v>
      </c>
      <c r="V161" s="88" t="n">
        <v>400000</v>
      </c>
    </row>
    <row r="162" customFormat="false" ht="30" hidden="false" customHeight="true" outlineLevel="1" collapsed="false">
      <c r="A162" s="70" t="n">
        <v>521219</v>
      </c>
      <c r="B162" s="71" t="s">
        <v>73</v>
      </c>
      <c r="C162" s="70"/>
      <c r="D162" s="70"/>
      <c r="E162" s="72"/>
      <c r="F162" s="73" t="n">
        <f aca="false">SUM(F164:F167)</f>
        <v>15276000</v>
      </c>
      <c r="G162" s="74"/>
      <c r="H162" s="75"/>
      <c r="I162" s="70" t="n">
        <v>521219</v>
      </c>
      <c r="J162" s="71" t="s">
        <v>73</v>
      </c>
      <c r="K162" s="70"/>
      <c r="L162" s="70"/>
      <c r="M162" s="72"/>
      <c r="N162" s="73" t="n">
        <f aca="false">SUM(N164:N167)</f>
        <v>15276000</v>
      </c>
      <c r="O162" s="76" t="n">
        <f aca="false">SUM(O164)</f>
        <v>0</v>
      </c>
      <c r="P162" s="128"/>
      <c r="Q162" s="128"/>
      <c r="R162" s="128"/>
      <c r="S162" s="141"/>
      <c r="T162" s="18"/>
      <c r="V162" s="27" t="n">
        <v>13260000</v>
      </c>
    </row>
    <row r="163" customFormat="false" ht="30" hidden="false" customHeight="true" outlineLevel="1" collapsed="false">
      <c r="A163" s="70"/>
      <c r="B163" s="77" t="s">
        <v>32</v>
      </c>
      <c r="C163" s="70"/>
      <c r="D163" s="70"/>
      <c r="E163" s="72"/>
      <c r="F163" s="73"/>
      <c r="G163" s="74"/>
      <c r="H163" s="75"/>
      <c r="I163" s="70"/>
      <c r="J163" s="77" t="s">
        <v>32</v>
      </c>
      <c r="K163" s="70"/>
      <c r="L163" s="70"/>
      <c r="M163" s="72"/>
      <c r="N163" s="73"/>
      <c r="O163" s="78"/>
      <c r="P163" s="18"/>
      <c r="Q163" s="18"/>
      <c r="R163" s="18"/>
      <c r="S163" s="141"/>
      <c r="T163" s="18"/>
    </row>
    <row r="164" customFormat="false" ht="30" hidden="false" customHeight="true" outlineLevel="1" collapsed="false">
      <c r="A164" s="89"/>
      <c r="B164" s="90" t="s">
        <v>158</v>
      </c>
      <c r="C164" s="89" t="n">
        <v>1</v>
      </c>
      <c r="D164" s="89" t="s">
        <v>55</v>
      </c>
      <c r="E164" s="96" t="n">
        <v>2016000</v>
      </c>
      <c r="F164" s="91" t="n">
        <f aca="false">C164*E164</f>
        <v>2016000</v>
      </c>
      <c r="G164" s="92" t="s">
        <v>39</v>
      </c>
      <c r="H164" s="93"/>
      <c r="I164" s="89"/>
      <c r="J164" s="90" t="s">
        <v>158</v>
      </c>
      <c r="K164" s="89" t="n">
        <v>1</v>
      </c>
      <c r="L164" s="89" t="s">
        <v>55</v>
      </c>
      <c r="M164" s="96" t="n">
        <v>2016000</v>
      </c>
      <c r="N164" s="91" t="n">
        <f aca="false">K164*M164</f>
        <v>2016000</v>
      </c>
      <c r="O164" s="119"/>
      <c r="P164" s="144" t="n">
        <v>2016000</v>
      </c>
      <c r="Q164" s="145"/>
      <c r="R164" s="145"/>
      <c r="S164" s="141"/>
      <c r="T164" s="16"/>
      <c r="V164" s="88" t="n">
        <v>0</v>
      </c>
    </row>
    <row r="165" customFormat="false" ht="30" hidden="false" customHeight="true" outlineLevel="1" collapsed="false">
      <c r="A165" s="70"/>
      <c r="B165" s="77" t="s">
        <v>159</v>
      </c>
      <c r="C165" s="70" t="n">
        <v>100</v>
      </c>
      <c r="D165" s="70" t="s">
        <v>160</v>
      </c>
      <c r="E165" s="72" t="n">
        <v>12800</v>
      </c>
      <c r="F165" s="73" t="n">
        <f aca="false">C165*E165</f>
        <v>1280000</v>
      </c>
      <c r="G165" s="98"/>
      <c r="H165" s="99"/>
      <c r="I165" s="70"/>
      <c r="J165" s="77" t="s">
        <v>159</v>
      </c>
      <c r="K165" s="70" t="n">
        <v>100</v>
      </c>
      <c r="L165" s="70" t="s">
        <v>160</v>
      </c>
      <c r="M165" s="72" t="n">
        <v>12800</v>
      </c>
      <c r="N165" s="73" t="n">
        <f aca="false">K165*M165</f>
        <v>1280000</v>
      </c>
      <c r="O165" s="78"/>
      <c r="P165" s="18"/>
      <c r="Q165" s="18"/>
      <c r="R165" s="18"/>
      <c r="S165" s="141"/>
      <c r="T165" s="18"/>
      <c r="V165" s="88" t="n">
        <v>1280000</v>
      </c>
    </row>
    <row r="166" customFormat="false" ht="30" hidden="false" customHeight="true" outlineLevel="1" collapsed="false">
      <c r="A166" s="70"/>
      <c r="B166" s="77" t="s">
        <v>161</v>
      </c>
      <c r="C166" s="70" t="n">
        <v>100</v>
      </c>
      <c r="D166" s="70" t="s">
        <v>160</v>
      </c>
      <c r="E166" s="72" t="n">
        <v>12800</v>
      </c>
      <c r="F166" s="73" t="n">
        <f aca="false">C166*E166</f>
        <v>1280000</v>
      </c>
      <c r="G166" s="98"/>
      <c r="H166" s="99"/>
      <c r="I166" s="70"/>
      <c r="J166" s="77" t="s">
        <v>161</v>
      </c>
      <c r="K166" s="70" t="n">
        <v>100</v>
      </c>
      <c r="L166" s="70" t="s">
        <v>160</v>
      </c>
      <c r="M166" s="72" t="n">
        <v>12800</v>
      </c>
      <c r="N166" s="73" t="n">
        <f aca="false">K166*M166</f>
        <v>1280000</v>
      </c>
      <c r="O166" s="78"/>
      <c r="P166" s="18"/>
      <c r="Q166" s="18"/>
      <c r="R166" s="18"/>
      <c r="S166" s="141"/>
      <c r="T166" s="18"/>
      <c r="V166" s="88" t="n">
        <v>1280000</v>
      </c>
    </row>
    <row r="167" customFormat="false" ht="30" hidden="false" customHeight="true" outlineLevel="1" collapsed="false">
      <c r="A167" s="70"/>
      <c r="B167" s="77" t="s">
        <v>162</v>
      </c>
      <c r="C167" s="70" t="n">
        <v>1</v>
      </c>
      <c r="D167" s="70" t="s">
        <v>55</v>
      </c>
      <c r="E167" s="72" t="n">
        <v>10700000</v>
      </c>
      <c r="F167" s="73" t="n">
        <f aca="false">C167*E167</f>
        <v>10700000</v>
      </c>
      <c r="G167" s="98"/>
      <c r="H167" s="99"/>
      <c r="I167" s="70"/>
      <c r="J167" s="77" t="s">
        <v>162</v>
      </c>
      <c r="K167" s="70" t="n">
        <v>1</v>
      </c>
      <c r="L167" s="70" t="s">
        <v>55</v>
      </c>
      <c r="M167" s="72" t="n">
        <v>10700000</v>
      </c>
      <c r="N167" s="73" t="n">
        <f aca="false">K167*M167</f>
        <v>10700000</v>
      </c>
      <c r="O167" s="78"/>
      <c r="P167" s="18"/>
      <c r="Q167" s="18"/>
      <c r="R167" s="18"/>
      <c r="S167" s="141"/>
      <c r="T167" s="18"/>
      <c r="V167" s="88" t="n">
        <v>10700000</v>
      </c>
    </row>
    <row r="168" customFormat="false" ht="30" hidden="false" customHeight="true" outlineLevel="1" collapsed="false">
      <c r="A168" s="70" t="n">
        <v>522141</v>
      </c>
      <c r="B168" s="71" t="s">
        <v>79</v>
      </c>
      <c r="C168" s="70"/>
      <c r="D168" s="70"/>
      <c r="E168" s="72"/>
      <c r="F168" s="73" t="n">
        <f aca="false">F170</f>
        <v>24000000</v>
      </c>
      <c r="G168" s="98"/>
      <c r="H168" s="99"/>
      <c r="I168" s="70" t="n">
        <v>522141</v>
      </c>
      <c r="J168" s="71" t="s">
        <v>79</v>
      </c>
      <c r="K168" s="70"/>
      <c r="L168" s="70"/>
      <c r="M168" s="72"/>
      <c r="N168" s="73" t="n">
        <f aca="false">N170</f>
        <v>24000000</v>
      </c>
      <c r="O168" s="76"/>
      <c r="P168" s="18"/>
      <c r="Q168" s="18"/>
      <c r="R168" s="18"/>
      <c r="S168" s="141"/>
      <c r="T168" s="18"/>
      <c r="V168" s="27" t="n">
        <v>24000000</v>
      </c>
    </row>
    <row r="169" customFormat="false" ht="30" hidden="false" customHeight="true" outlineLevel="1" collapsed="false">
      <c r="A169" s="70"/>
      <c r="B169" s="71" t="s">
        <v>32</v>
      </c>
      <c r="C169" s="70"/>
      <c r="D169" s="70"/>
      <c r="E169" s="72"/>
      <c r="F169" s="73"/>
      <c r="G169" s="146"/>
      <c r="H169" s="75"/>
      <c r="I169" s="70"/>
      <c r="J169" s="71" t="s">
        <v>32</v>
      </c>
      <c r="K169" s="70"/>
      <c r="L169" s="70"/>
      <c r="M169" s="72"/>
      <c r="N169" s="73"/>
      <c r="O169" s="147"/>
      <c r="P169" s="18"/>
      <c r="Q169" s="18"/>
      <c r="R169" s="18"/>
      <c r="S169" s="141"/>
      <c r="T169" s="18"/>
    </row>
    <row r="170" customFormat="false" ht="30" hidden="false" customHeight="true" outlineLevel="1" collapsed="false">
      <c r="A170" s="70"/>
      <c r="B170" s="77" t="s">
        <v>163</v>
      </c>
      <c r="C170" s="70" t="n">
        <v>6</v>
      </c>
      <c r="D170" s="70" t="s">
        <v>49</v>
      </c>
      <c r="E170" s="72" t="n">
        <v>4000000</v>
      </c>
      <c r="F170" s="73" t="n">
        <f aca="false">C170*E170</f>
        <v>24000000</v>
      </c>
      <c r="G170" s="74"/>
      <c r="H170" s="75"/>
      <c r="I170" s="70"/>
      <c r="J170" s="77" t="s">
        <v>163</v>
      </c>
      <c r="K170" s="70" t="n">
        <v>6</v>
      </c>
      <c r="L170" s="70" t="s">
        <v>49</v>
      </c>
      <c r="M170" s="72" t="n">
        <v>4000000</v>
      </c>
      <c r="N170" s="73" t="n">
        <f aca="false">K170*M170</f>
        <v>24000000</v>
      </c>
      <c r="O170" s="78"/>
      <c r="P170" s="18"/>
      <c r="Q170" s="18"/>
      <c r="R170" s="18"/>
      <c r="S170" s="141"/>
      <c r="T170" s="18"/>
      <c r="V170" s="88" t="n">
        <v>24000000</v>
      </c>
    </row>
    <row r="171" customFormat="false" ht="30" hidden="false" customHeight="true" outlineLevel="1" collapsed="false">
      <c r="A171" s="70" t="n">
        <v>522151</v>
      </c>
      <c r="B171" s="71" t="s">
        <v>81</v>
      </c>
      <c r="C171" s="70"/>
      <c r="D171" s="70"/>
      <c r="E171" s="72"/>
      <c r="F171" s="73" t="n">
        <f aca="false">F173</f>
        <v>1800000</v>
      </c>
      <c r="G171" s="98"/>
      <c r="H171" s="99"/>
      <c r="I171" s="70" t="n">
        <v>522151</v>
      </c>
      <c r="J171" s="71" t="s">
        <v>81</v>
      </c>
      <c r="K171" s="70"/>
      <c r="L171" s="70"/>
      <c r="M171" s="72"/>
      <c r="N171" s="73" t="n">
        <f aca="false">N173</f>
        <v>1800000</v>
      </c>
      <c r="O171" s="76"/>
      <c r="P171" s="18"/>
      <c r="Q171" s="18"/>
      <c r="R171" s="18"/>
      <c r="S171" s="141"/>
      <c r="T171" s="18"/>
      <c r="V171" s="27" t="n">
        <v>1800000</v>
      </c>
    </row>
    <row r="172" customFormat="false" ht="30" hidden="false" customHeight="true" outlineLevel="1" collapsed="false">
      <c r="A172" s="70"/>
      <c r="B172" s="71" t="s">
        <v>32</v>
      </c>
      <c r="C172" s="70"/>
      <c r="D172" s="70"/>
      <c r="E172" s="72"/>
      <c r="F172" s="73"/>
      <c r="G172" s="98"/>
      <c r="H172" s="99"/>
      <c r="I172" s="70"/>
      <c r="J172" s="71" t="s">
        <v>32</v>
      </c>
      <c r="K172" s="70"/>
      <c r="L172" s="70"/>
      <c r="M172" s="72"/>
      <c r="N172" s="73"/>
      <c r="O172" s="76"/>
      <c r="P172" s="18"/>
      <c r="Q172" s="18"/>
      <c r="R172" s="18"/>
      <c r="S172" s="141"/>
      <c r="T172" s="18"/>
    </row>
    <row r="173" customFormat="false" ht="30" hidden="false" customHeight="true" outlineLevel="1" collapsed="false">
      <c r="A173" s="70"/>
      <c r="B173" s="77" t="s">
        <v>164</v>
      </c>
      <c r="C173" s="70" t="n">
        <v>2</v>
      </c>
      <c r="D173" s="70" t="s">
        <v>83</v>
      </c>
      <c r="E173" s="72" t="n">
        <v>900000</v>
      </c>
      <c r="F173" s="73" t="n">
        <f aca="false">C173*E173</f>
        <v>1800000</v>
      </c>
      <c r="G173" s="98"/>
      <c r="H173" s="99"/>
      <c r="I173" s="70"/>
      <c r="J173" s="77" t="s">
        <v>164</v>
      </c>
      <c r="K173" s="70" t="n">
        <v>2</v>
      </c>
      <c r="L173" s="70" t="s">
        <v>83</v>
      </c>
      <c r="M173" s="72" t="n">
        <v>900000</v>
      </c>
      <c r="N173" s="73" t="n">
        <f aca="false">K173*M173</f>
        <v>1800000</v>
      </c>
      <c r="O173" s="76"/>
      <c r="P173" s="18"/>
      <c r="Q173" s="18"/>
      <c r="R173" s="18"/>
      <c r="S173" s="141"/>
      <c r="T173" s="18"/>
      <c r="V173" s="88" t="n">
        <v>1800000</v>
      </c>
    </row>
    <row r="174" customFormat="false" ht="30" hidden="false" customHeight="true" outlineLevel="1" collapsed="false">
      <c r="A174" s="107"/>
      <c r="B174" s="148"/>
      <c r="C174" s="107"/>
      <c r="D174" s="107"/>
      <c r="E174" s="109"/>
      <c r="F174" s="110"/>
      <c r="G174" s="142"/>
      <c r="H174" s="143"/>
      <c r="I174" s="107" t="n">
        <v>522191</v>
      </c>
      <c r="J174" s="148" t="s">
        <v>81</v>
      </c>
      <c r="K174" s="107"/>
      <c r="L174" s="107"/>
      <c r="M174" s="109"/>
      <c r="N174" s="110" t="n">
        <f aca="false">N176</f>
        <v>24230000</v>
      </c>
      <c r="O174" s="149"/>
      <c r="P174" s="114"/>
      <c r="Q174" s="114"/>
      <c r="R174" s="114"/>
      <c r="S174" s="141"/>
      <c r="T174" s="18"/>
    </row>
    <row r="175" customFormat="false" ht="30" hidden="false" customHeight="true" outlineLevel="1" collapsed="false">
      <c r="A175" s="107"/>
      <c r="B175" s="148"/>
      <c r="C175" s="107"/>
      <c r="D175" s="107"/>
      <c r="E175" s="109"/>
      <c r="F175" s="110"/>
      <c r="G175" s="142"/>
      <c r="H175" s="143"/>
      <c r="I175" s="107"/>
      <c r="J175" s="148" t="s">
        <v>32</v>
      </c>
      <c r="K175" s="107"/>
      <c r="L175" s="107"/>
      <c r="M175" s="109"/>
      <c r="N175" s="110"/>
      <c r="O175" s="149"/>
      <c r="P175" s="114"/>
      <c r="Q175" s="114"/>
      <c r="R175" s="114"/>
      <c r="S175" s="141"/>
      <c r="T175" s="18"/>
    </row>
    <row r="176" customFormat="false" ht="30" hidden="false" customHeight="true" outlineLevel="1" collapsed="false">
      <c r="A176" s="107"/>
      <c r="B176" s="108"/>
      <c r="C176" s="107"/>
      <c r="D176" s="107"/>
      <c r="E176" s="109"/>
      <c r="F176" s="110"/>
      <c r="G176" s="142"/>
      <c r="H176" s="143"/>
      <c r="I176" s="107"/>
      <c r="J176" s="108" t="s">
        <v>165</v>
      </c>
      <c r="K176" s="107" t="n">
        <v>1</v>
      </c>
      <c r="L176" s="107" t="s">
        <v>166</v>
      </c>
      <c r="M176" s="109" t="n">
        <v>24230000</v>
      </c>
      <c r="N176" s="110" t="n">
        <f aca="false">K176*M176</f>
        <v>24230000</v>
      </c>
      <c r="O176" s="149"/>
      <c r="P176" s="114"/>
      <c r="Q176" s="114"/>
      <c r="R176" s="115" t="n">
        <f aca="false">F176-N176</f>
        <v>-24230000</v>
      </c>
      <c r="S176" s="141"/>
      <c r="T176" s="52" t="n">
        <f aca="false">N176-F176</f>
        <v>24230000</v>
      </c>
    </row>
    <row r="177" customFormat="false" ht="30" hidden="false" customHeight="true" outlineLevel="1" collapsed="false">
      <c r="A177" s="70" t="n">
        <v>524111</v>
      </c>
      <c r="B177" s="71" t="s">
        <v>37</v>
      </c>
      <c r="C177" s="70"/>
      <c r="D177" s="70"/>
      <c r="E177" s="72"/>
      <c r="F177" s="150" t="n">
        <f aca="false">SUM(F179:F180)</f>
        <v>2376000</v>
      </c>
      <c r="G177" s="98"/>
      <c r="H177" s="99"/>
      <c r="I177" s="70" t="n">
        <v>524111</v>
      </c>
      <c r="J177" s="71" t="s">
        <v>37</v>
      </c>
      <c r="K177" s="70"/>
      <c r="L177" s="70"/>
      <c r="M177" s="72"/>
      <c r="N177" s="150" t="n">
        <f aca="false">SUM(N179:N180)</f>
        <v>2376000</v>
      </c>
      <c r="O177" s="76"/>
      <c r="P177" s="18"/>
      <c r="Q177" s="18"/>
      <c r="R177" s="18"/>
      <c r="S177" s="141"/>
      <c r="T177" s="18"/>
      <c r="V177" s="27" t="n">
        <v>2376000</v>
      </c>
    </row>
    <row r="178" customFormat="false" ht="30" hidden="false" customHeight="true" outlineLevel="1" collapsed="false">
      <c r="A178" s="70"/>
      <c r="B178" s="77" t="s">
        <v>32</v>
      </c>
      <c r="C178" s="70"/>
      <c r="D178" s="70"/>
      <c r="E178" s="72"/>
      <c r="F178" s="150"/>
      <c r="G178" s="98"/>
      <c r="H178" s="99"/>
      <c r="I178" s="70"/>
      <c r="J178" s="77" t="s">
        <v>32</v>
      </c>
      <c r="K178" s="70"/>
      <c r="L178" s="70"/>
      <c r="M178" s="72"/>
      <c r="N178" s="150"/>
      <c r="O178" s="76"/>
      <c r="P178" s="18"/>
      <c r="Q178" s="18"/>
      <c r="R178" s="18"/>
      <c r="S178" s="141"/>
      <c r="T178" s="18"/>
    </row>
    <row r="179" customFormat="false" ht="30" hidden="false" customHeight="true" outlineLevel="1" collapsed="false">
      <c r="A179" s="70"/>
      <c r="B179" s="77" t="s">
        <v>167</v>
      </c>
      <c r="C179" s="70" t="n">
        <v>4</v>
      </c>
      <c r="D179" s="70" t="s">
        <v>151</v>
      </c>
      <c r="E179" s="72" t="n">
        <v>410000</v>
      </c>
      <c r="F179" s="150" t="n">
        <f aca="false">C179*E179</f>
        <v>1640000</v>
      </c>
      <c r="G179" s="98"/>
      <c r="H179" s="99"/>
      <c r="I179" s="70"/>
      <c r="J179" s="77" t="s">
        <v>167</v>
      </c>
      <c r="K179" s="70" t="n">
        <v>4</v>
      </c>
      <c r="L179" s="70" t="s">
        <v>151</v>
      </c>
      <c r="M179" s="72" t="n">
        <v>410000</v>
      </c>
      <c r="N179" s="150" t="n">
        <f aca="false">K179*M179</f>
        <v>1640000</v>
      </c>
      <c r="O179" s="78"/>
      <c r="P179" s="18"/>
      <c r="Q179" s="18"/>
      <c r="R179" s="18"/>
      <c r="S179" s="141"/>
      <c r="T179" s="18"/>
      <c r="V179" s="88" t="n">
        <v>1640000</v>
      </c>
    </row>
    <row r="180" customFormat="false" ht="30" hidden="false" customHeight="true" outlineLevel="1" collapsed="false">
      <c r="A180" s="70"/>
      <c r="B180" s="77" t="s">
        <v>168</v>
      </c>
      <c r="C180" s="70" t="n">
        <v>1</v>
      </c>
      <c r="D180" s="70" t="s">
        <v>151</v>
      </c>
      <c r="E180" s="72" t="n">
        <v>736000</v>
      </c>
      <c r="F180" s="150" t="n">
        <f aca="false">C180*E180</f>
        <v>736000</v>
      </c>
      <c r="G180" s="98"/>
      <c r="H180" s="99"/>
      <c r="I180" s="70"/>
      <c r="J180" s="77" t="s">
        <v>168</v>
      </c>
      <c r="K180" s="70" t="n">
        <v>1</v>
      </c>
      <c r="L180" s="70" t="s">
        <v>151</v>
      </c>
      <c r="M180" s="72" t="n">
        <v>736000</v>
      </c>
      <c r="N180" s="150" t="n">
        <f aca="false">K180*M180</f>
        <v>736000</v>
      </c>
      <c r="O180" s="78"/>
      <c r="P180" s="18"/>
      <c r="Q180" s="18"/>
      <c r="R180" s="18"/>
      <c r="S180" s="141"/>
      <c r="T180" s="18"/>
      <c r="V180" s="88" t="n">
        <v>736000</v>
      </c>
    </row>
    <row r="181" customFormat="false" ht="30" hidden="false" customHeight="true" outlineLevel="1" collapsed="false">
      <c r="A181" s="70" t="n">
        <v>524119</v>
      </c>
      <c r="B181" s="71" t="s">
        <v>44</v>
      </c>
      <c r="C181" s="70"/>
      <c r="D181" s="70"/>
      <c r="E181" s="151"/>
      <c r="F181" s="152" t="n">
        <f aca="false">SUM(F183:F185)</f>
        <v>73380000</v>
      </c>
      <c r="G181" s="98"/>
      <c r="H181" s="99"/>
      <c r="I181" s="70" t="n">
        <v>524119</v>
      </c>
      <c r="J181" s="71" t="s">
        <v>44</v>
      </c>
      <c r="K181" s="70"/>
      <c r="L181" s="70"/>
      <c r="M181" s="151"/>
      <c r="N181" s="152" t="n">
        <f aca="false">SUM(N183:N185)</f>
        <v>73380000</v>
      </c>
      <c r="O181" s="76" t="n">
        <f aca="false">SUM(O183:O185)</f>
        <v>0</v>
      </c>
      <c r="P181" s="18"/>
      <c r="Q181" s="18"/>
      <c r="R181" s="18"/>
      <c r="S181" s="141"/>
      <c r="T181" s="18"/>
      <c r="V181" s="27" t="n">
        <v>73380000</v>
      </c>
    </row>
    <row r="182" customFormat="false" ht="30" hidden="false" customHeight="true" outlineLevel="1" collapsed="false">
      <c r="A182" s="70"/>
      <c r="B182" s="77" t="s">
        <v>32</v>
      </c>
      <c r="C182" s="70"/>
      <c r="D182" s="70"/>
      <c r="E182" s="151"/>
      <c r="F182" s="152"/>
      <c r="G182" s="98"/>
      <c r="H182" s="99"/>
      <c r="I182" s="70"/>
      <c r="J182" s="77" t="s">
        <v>32</v>
      </c>
      <c r="K182" s="70"/>
      <c r="L182" s="70"/>
      <c r="M182" s="151"/>
      <c r="N182" s="152"/>
      <c r="O182" s="76"/>
      <c r="P182" s="18"/>
      <c r="Q182" s="18"/>
      <c r="R182" s="18"/>
      <c r="S182" s="141"/>
      <c r="T182" s="18"/>
    </row>
    <row r="183" s="162" customFormat="true" ht="30" hidden="false" customHeight="true" outlineLevel="1" collapsed="false">
      <c r="A183" s="153"/>
      <c r="B183" s="154" t="s">
        <v>169</v>
      </c>
      <c r="C183" s="153" t="n">
        <f aca="false">60*1</f>
        <v>60</v>
      </c>
      <c r="D183" s="153" t="s">
        <v>49</v>
      </c>
      <c r="E183" s="155" t="n">
        <v>408000</v>
      </c>
      <c r="F183" s="156" t="n">
        <f aca="false">C183*E183</f>
        <v>24480000</v>
      </c>
      <c r="G183" s="157"/>
      <c r="H183" s="158"/>
      <c r="I183" s="153"/>
      <c r="J183" s="154" t="s">
        <v>169</v>
      </c>
      <c r="K183" s="153" t="n">
        <f aca="false">60*1</f>
        <v>60</v>
      </c>
      <c r="L183" s="153" t="s">
        <v>49</v>
      </c>
      <c r="M183" s="155" t="n">
        <v>408000</v>
      </c>
      <c r="N183" s="156" t="n">
        <f aca="false">K183*M183</f>
        <v>24480000</v>
      </c>
      <c r="O183" s="159"/>
      <c r="P183" s="160"/>
      <c r="Q183" s="160"/>
      <c r="R183" s="160"/>
      <c r="S183" s="141"/>
      <c r="T183" s="161"/>
      <c r="V183" s="88" t="n">
        <v>24480000</v>
      </c>
    </row>
    <row r="184" s="162" customFormat="true" ht="30" hidden="false" customHeight="true" outlineLevel="1" collapsed="false">
      <c r="A184" s="163"/>
      <c r="B184" s="154" t="s">
        <v>170</v>
      </c>
      <c r="C184" s="153" t="n">
        <v>30</v>
      </c>
      <c r="D184" s="153" t="s">
        <v>55</v>
      </c>
      <c r="E184" s="164" t="n">
        <v>810000</v>
      </c>
      <c r="F184" s="165" t="n">
        <f aca="false">C184*E184</f>
        <v>24300000</v>
      </c>
      <c r="G184" s="157"/>
      <c r="H184" s="158"/>
      <c r="I184" s="163"/>
      <c r="J184" s="154" t="s">
        <v>170</v>
      </c>
      <c r="K184" s="153" t="n">
        <v>30</v>
      </c>
      <c r="L184" s="153" t="s">
        <v>55</v>
      </c>
      <c r="M184" s="164" t="n">
        <v>810000</v>
      </c>
      <c r="N184" s="165" t="n">
        <f aca="false">K184*M184</f>
        <v>24300000</v>
      </c>
      <c r="O184" s="159"/>
      <c r="P184" s="161"/>
      <c r="Q184" s="161"/>
      <c r="R184" s="161"/>
      <c r="S184" s="141"/>
      <c r="T184" s="161"/>
      <c r="V184" s="88" t="n">
        <v>24300000</v>
      </c>
    </row>
    <row r="185" s="162" customFormat="true" ht="30" hidden="false" customHeight="true" outlineLevel="1" collapsed="false">
      <c r="A185" s="166"/>
      <c r="B185" s="167" t="s">
        <v>171</v>
      </c>
      <c r="C185" s="166" t="n">
        <v>60</v>
      </c>
      <c r="D185" s="166" t="s">
        <v>151</v>
      </c>
      <c r="E185" s="168" t="n">
        <v>410000</v>
      </c>
      <c r="F185" s="169" t="n">
        <f aca="false">C185*E185</f>
        <v>24600000</v>
      </c>
      <c r="G185" s="170"/>
      <c r="H185" s="171"/>
      <c r="I185" s="166"/>
      <c r="J185" s="167" t="s">
        <v>171</v>
      </c>
      <c r="K185" s="166" t="n">
        <v>60</v>
      </c>
      <c r="L185" s="166" t="s">
        <v>151</v>
      </c>
      <c r="M185" s="168" t="n">
        <v>410000</v>
      </c>
      <c r="N185" s="169" t="n">
        <f aca="false">K185*M185</f>
        <v>24600000</v>
      </c>
      <c r="O185" s="172"/>
      <c r="P185" s="173"/>
      <c r="Q185" s="173"/>
      <c r="R185" s="173"/>
      <c r="S185" s="141"/>
      <c r="T185" s="173"/>
      <c r="V185" s="88" t="n">
        <v>24600000</v>
      </c>
    </row>
    <row r="186" customFormat="false" ht="30" hidden="false" customHeight="true" outlineLevel="0" collapsed="false">
      <c r="A186" s="62" t="s">
        <v>172</v>
      </c>
      <c r="B186" s="63" t="s">
        <v>173</v>
      </c>
      <c r="C186" s="64"/>
      <c r="D186" s="64"/>
      <c r="E186" s="65"/>
      <c r="F186" s="66" t="n">
        <f aca="false">F187+F190</f>
        <v>25340000</v>
      </c>
      <c r="G186" s="67"/>
      <c r="H186" s="48"/>
      <c r="I186" s="62" t="s">
        <v>172</v>
      </c>
      <c r="J186" s="63" t="s">
        <v>173</v>
      </c>
      <c r="K186" s="64"/>
      <c r="L186" s="64"/>
      <c r="M186" s="65"/>
      <c r="N186" s="66" t="n">
        <f aca="false">N187+N190</f>
        <v>21678000</v>
      </c>
      <c r="O186" s="68" t="n">
        <f aca="false">O190</f>
        <v>0</v>
      </c>
      <c r="P186" s="16"/>
      <c r="Q186" s="16"/>
      <c r="R186" s="16"/>
      <c r="S186" s="174" t="s">
        <v>174</v>
      </c>
      <c r="T186" s="18"/>
      <c r="V186" s="27" t="n">
        <v>3662800</v>
      </c>
    </row>
    <row r="187" customFormat="false" ht="30" hidden="false" customHeight="true" outlineLevel="1" collapsed="false">
      <c r="A187" s="70" t="n">
        <v>522141</v>
      </c>
      <c r="B187" s="71" t="s">
        <v>79</v>
      </c>
      <c r="C187" s="70"/>
      <c r="D187" s="70"/>
      <c r="E187" s="72"/>
      <c r="F187" s="73" t="n">
        <f aca="false">F189</f>
        <v>10908000</v>
      </c>
      <c r="G187" s="74"/>
      <c r="H187" s="75"/>
      <c r="I187" s="70" t="n">
        <v>522141</v>
      </c>
      <c r="J187" s="71" t="s">
        <v>79</v>
      </c>
      <c r="K187" s="70"/>
      <c r="L187" s="70"/>
      <c r="M187" s="72"/>
      <c r="N187" s="73" t="n">
        <f aca="false">N189</f>
        <v>7272000</v>
      </c>
      <c r="O187" s="78"/>
      <c r="P187" s="18"/>
      <c r="Q187" s="18"/>
      <c r="R187" s="18"/>
      <c r="S187" s="175"/>
      <c r="T187" s="18"/>
      <c r="V187" s="27" t="n">
        <v>3636000</v>
      </c>
    </row>
    <row r="188" customFormat="false" ht="30" hidden="false" customHeight="true" outlineLevel="1" collapsed="false">
      <c r="A188" s="70"/>
      <c r="B188" s="77" t="s">
        <v>32</v>
      </c>
      <c r="C188" s="70"/>
      <c r="D188" s="70"/>
      <c r="E188" s="72"/>
      <c r="F188" s="73"/>
      <c r="G188" s="74"/>
      <c r="H188" s="75"/>
      <c r="I188" s="70"/>
      <c r="J188" s="77" t="s">
        <v>32</v>
      </c>
      <c r="K188" s="70"/>
      <c r="L188" s="70"/>
      <c r="M188" s="72"/>
      <c r="N188" s="73"/>
      <c r="O188" s="78"/>
      <c r="P188" s="18"/>
      <c r="Q188" s="18"/>
      <c r="R188" s="18"/>
      <c r="S188" s="175"/>
      <c r="T188" s="18"/>
    </row>
    <row r="189" customFormat="false" ht="30" hidden="false" customHeight="true" outlineLevel="1" collapsed="false">
      <c r="A189" s="79"/>
      <c r="B189" s="80" t="s">
        <v>175</v>
      </c>
      <c r="C189" s="79" t="n">
        <v>9</v>
      </c>
      <c r="D189" s="79" t="s">
        <v>123</v>
      </c>
      <c r="E189" s="100" t="n">
        <v>1212000</v>
      </c>
      <c r="F189" s="81" t="n">
        <f aca="false">C189*E189</f>
        <v>10908000</v>
      </c>
      <c r="G189" s="82"/>
      <c r="H189" s="83"/>
      <c r="I189" s="79"/>
      <c r="J189" s="80" t="s">
        <v>176</v>
      </c>
      <c r="K189" s="79" t="n">
        <f aca="false">1*3*2</f>
        <v>6</v>
      </c>
      <c r="L189" s="79" t="s">
        <v>123</v>
      </c>
      <c r="M189" s="100" t="n">
        <v>1212000</v>
      </c>
      <c r="N189" s="81" t="n">
        <f aca="false">K189*M189</f>
        <v>7272000</v>
      </c>
      <c r="O189" s="176"/>
      <c r="P189" s="105"/>
      <c r="Q189" s="105"/>
      <c r="R189" s="177" t="n">
        <f aca="false">F189-N189</f>
        <v>3636000</v>
      </c>
      <c r="S189" s="175"/>
      <c r="T189" s="52" t="n">
        <f aca="false">N189-F189</f>
        <v>-3636000</v>
      </c>
      <c r="V189" s="88" t="n">
        <v>3636000</v>
      </c>
    </row>
    <row r="190" customFormat="false" ht="30" hidden="false" customHeight="true" outlineLevel="1" collapsed="false">
      <c r="A190" s="70" t="n">
        <v>524111</v>
      </c>
      <c r="B190" s="71" t="s">
        <v>37</v>
      </c>
      <c r="C190" s="70"/>
      <c r="D190" s="70"/>
      <c r="E190" s="72"/>
      <c r="F190" s="73" t="n">
        <f aca="false">SUM(F192:F193)</f>
        <v>14432000</v>
      </c>
      <c r="G190" s="98"/>
      <c r="H190" s="99"/>
      <c r="I190" s="70" t="n">
        <v>524111</v>
      </c>
      <c r="J190" s="71" t="s">
        <v>37</v>
      </c>
      <c r="K190" s="70"/>
      <c r="L190" s="70"/>
      <c r="M190" s="72"/>
      <c r="N190" s="73" t="n">
        <f aca="false">SUM(N192:N193)</f>
        <v>14406000</v>
      </c>
      <c r="O190" s="76" t="n">
        <f aca="false">SUM(O191:O193)</f>
        <v>0</v>
      </c>
      <c r="P190" s="18"/>
      <c r="Q190" s="18"/>
      <c r="R190" s="18"/>
      <c r="S190" s="175"/>
      <c r="T190" s="18"/>
      <c r="V190" s="27" t="n">
        <v>26800</v>
      </c>
    </row>
    <row r="191" customFormat="false" ht="30" hidden="false" customHeight="true" outlineLevel="1" collapsed="false">
      <c r="A191" s="70"/>
      <c r="B191" s="77" t="s">
        <v>32</v>
      </c>
      <c r="C191" s="70"/>
      <c r="D191" s="70"/>
      <c r="E191" s="72"/>
      <c r="F191" s="73"/>
      <c r="G191" s="98"/>
      <c r="H191" s="99"/>
      <c r="I191" s="70"/>
      <c r="J191" s="77" t="s">
        <v>32</v>
      </c>
      <c r="K191" s="70"/>
      <c r="L191" s="70"/>
      <c r="M191" s="72"/>
      <c r="N191" s="73"/>
      <c r="O191" s="76"/>
      <c r="P191" s="18"/>
      <c r="Q191" s="18"/>
      <c r="R191" s="18"/>
      <c r="S191" s="175"/>
      <c r="T191" s="18"/>
    </row>
    <row r="192" customFormat="false" ht="30" hidden="false" customHeight="true" outlineLevel="1" collapsed="false">
      <c r="A192" s="70"/>
      <c r="B192" s="77" t="s">
        <v>177</v>
      </c>
      <c r="C192" s="70" t="n">
        <f aca="false">4*3*2</f>
        <v>24</v>
      </c>
      <c r="D192" s="70" t="s">
        <v>151</v>
      </c>
      <c r="E192" s="72" t="n">
        <v>410000</v>
      </c>
      <c r="F192" s="73" t="n">
        <f aca="false">C192*E192</f>
        <v>9840000</v>
      </c>
      <c r="G192" s="98"/>
      <c r="H192" s="99"/>
      <c r="I192" s="70"/>
      <c r="J192" s="77" t="s">
        <v>177</v>
      </c>
      <c r="K192" s="70" t="n">
        <f aca="false">4*3*2</f>
        <v>24</v>
      </c>
      <c r="L192" s="70" t="s">
        <v>151</v>
      </c>
      <c r="M192" s="72" t="n">
        <v>410000</v>
      </c>
      <c r="N192" s="73" t="n">
        <f aca="false">K192*M192</f>
        <v>9840000</v>
      </c>
      <c r="O192" s="78"/>
      <c r="P192" s="18"/>
      <c r="Q192" s="18"/>
      <c r="R192" s="18"/>
      <c r="S192" s="175"/>
      <c r="T192" s="18"/>
      <c r="V192" s="88" t="n">
        <v>0</v>
      </c>
    </row>
    <row r="193" s="162" customFormat="true" ht="30" hidden="false" customHeight="true" outlineLevel="1" collapsed="false">
      <c r="A193" s="178"/>
      <c r="B193" s="179" t="s">
        <v>178</v>
      </c>
      <c r="C193" s="178" t="n">
        <f aca="false">2*2*2</f>
        <v>8</v>
      </c>
      <c r="D193" s="178" t="s">
        <v>151</v>
      </c>
      <c r="E193" s="180" t="n">
        <v>574000</v>
      </c>
      <c r="F193" s="181" t="n">
        <f aca="false">C193*E193</f>
        <v>4592000</v>
      </c>
      <c r="G193" s="182"/>
      <c r="H193" s="183"/>
      <c r="I193" s="178"/>
      <c r="J193" s="179" t="s">
        <v>179</v>
      </c>
      <c r="K193" s="178" t="n">
        <v>1</v>
      </c>
      <c r="L193" s="178" t="s">
        <v>55</v>
      </c>
      <c r="M193" s="180" t="n">
        <v>4566000</v>
      </c>
      <c r="N193" s="181" t="n">
        <f aca="false">K193*M193</f>
        <v>4566000</v>
      </c>
      <c r="O193" s="184"/>
      <c r="P193" s="185"/>
      <c r="Q193" s="186" t="n">
        <f aca="false">F193-N193</f>
        <v>26000</v>
      </c>
      <c r="R193" s="186" t="n">
        <f aca="false">G193-O193</f>
        <v>0</v>
      </c>
      <c r="S193" s="187"/>
      <c r="T193" s="52" t="n">
        <f aca="false">N193-F193</f>
        <v>-26000</v>
      </c>
      <c r="V193" s="88" t="n">
        <v>26800</v>
      </c>
    </row>
    <row r="194" customFormat="false" ht="30" hidden="false" customHeight="true" outlineLevel="0" collapsed="false">
      <c r="A194" s="62" t="s">
        <v>180</v>
      </c>
      <c r="B194" s="63" t="s">
        <v>181</v>
      </c>
      <c r="C194" s="64"/>
      <c r="D194" s="64"/>
      <c r="E194" s="65"/>
      <c r="F194" s="66" t="n">
        <f aca="false">F195</f>
        <v>21844000</v>
      </c>
      <c r="G194" s="67"/>
      <c r="H194" s="48"/>
      <c r="I194" s="62" t="s">
        <v>180</v>
      </c>
      <c r="J194" s="63" t="s">
        <v>181</v>
      </c>
      <c r="K194" s="64"/>
      <c r="L194" s="64"/>
      <c r="M194" s="65"/>
      <c r="N194" s="66" t="n">
        <f aca="false">N195</f>
        <v>21844000</v>
      </c>
      <c r="O194" s="68" t="n">
        <f aca="false">O195</f>
        <v>0</v>
      </c>
      <c r="P194" s="16"/>
      <c r="Q194" s="16"/>
      <c r="R194" s="16"/>
      <c r="S194" s="174" t="s">
        <v>182</v>
      </c>
      <c r="T194" s="18"/>
      <c r="V194" s="27" t="n">
        <v>11448934</v>
      </c>
    </row>
    <row r="195" customFormat="false" ht="30" hidden="false" customHeight="true" outlineLevel="1" collapsed="false">
      <c r="A195" s="70" t="n">
        <v>524111</v>
      </c>
      <c r="B195" s="71" t="s">
        <v>37</v>
      </c>
      <c r="C195" s="70"/>
      <c r="D195" s="70"/>
      <c r="E195" s="72"/>
      <c r="F195" s="73" t="n">
        <f aca="false">SUM(F197:F202)</f>
        <v>21844000</v>
      </c>
      <c r="G195" s="74"/>
      <c r="H195" s="75"/>
      <c r="I195" s="70" t="n">
        <v>524111</v>
      </c>
      <c r="J195" s="71" t="s">
        <v>37</v>
      </c>
      <c r="K195" s="70"/>
      <c r="L195" s="70"/>
      <c r="M195" s="72"/>
      <c r="N195" s="73" t="n">
        <f aca="false">SUM(N197:N202)</f>
        <v>21844000</v>
      </c>
      <c r="O195" s="76" t="n">
        <f aca="false">SUM(O197:O202)</f>
        <v>0</v>
      </c>
      <c r="P195" s="18"/>
      <c r="Q195" s="18"/>
      <c r="R195" s="18"/>
      <c r="S195" s="175"/>
      <c r="T195" s="18"/>
      <c r="V195" s="27" t="n">
        <v>11448934</v>
      </c>
    </row>
    <row r="196" customFormat="false" ht="30" hidden="false" customHeight="true" outlineLevel="1" collapsed="false">
      <c r="A196" s="70"/>
      <c r="B196" s="77" t="s">
        <v>32</v>
      </c>
      <c r="C196" s="70"/>
      <c r="D196" s="70"/>
      <c r="E196" s="72"/>
      <c r="F196" s="73"/>
      <c r="G196" s="74"/>
      <c r="H196" s="75"/>
      <c r="I196" s="70"/>
      <c r="J196" s="77" t="s">
        <v>32</v>
      </c>
      <c r="K196" s="70"/>
      <c r="L196" s="70"/>
      <c r="M196" s="72"/>
      <c r="N196" s="73"/>
      <c r="O196" s="78"/>
      <c r="P196" s="18"/>
      <c r="Q196" s="18"/>
      <c r="R196" s="18"/>
      <c r="S196" s="175"/>
      <c r="T196" s="18"/>
    </row>
    <row r="197" customFormat="false" ht="30" hidden="false" customHeight="true" outlineLevel="1" collapsed="false">
      <c r="A197" s="79"/>
      <c r="B197" s="80" t="s">
        <v>183</v>
      </c>
      <c r="C197" s="79" t="n">
        <v>12</v>
      </c>
      <c r="D197" s="79" t="s">
        <v>151</v>
      </c>
      <c r="E197" s="100" t="n">
        <v>265000</v>
      </c>
      <c r="F197" s="81" t="n">
        <f aca="false">C197*E197</f>
        <v>3180000</v>
      </c>
      <c r="G197" s="82"/>
      <c r="H197" s="83"/>
      <c r="I197" s="79"/>
      <c r="J197" s="80" t="s">
        <v>183</v>
      </c>
      <c r="K197" s="79" t="n">
        <f aca="false">2*3*2</f>
        <v>12</v>
      </c>
      <c r="L197" s="79" t="s">
        <v>151</v>
      </c>
      <c r="M197" s="100" t="n">
        <v>530000</v>
      </c>
      <c r="N197" s="81" t="n">
        <f aca="false">K197*M197</f>
        <v>6360000</v>
      </c>
      <c r="O197" s="84"/>
      <c r="P197" s="105"/>
      <c r="Q197" s="188" t="n">
        <f aca="false">F197-N197</f>
        <v>-3180000</v>
      </c>
      <c r="R197" s="105"/>
      <c r="S197" s="189"/>
      <c r="T197" s="52" t="n">
        <f aca="false">N197-F197</f>
        <v>3180000</v>
      </c>
      <c r="V197" s="88" t="n">
        <v>0</v>
      </c>
    </row>
    <row r="198" customFormat="false" ht="30" hidden="false" customHeight="true" outlineLevel="1" collapsed="false">
      <c r="A198" s="79"/>
      <c r="B198" s="80" t="s">
        <v>184</v>
      </c>
      <c r="C198" s="79" t="n">
        <v>12</v>
      </c>
      <c r="D198" s="79" t="s">
        <v>151</v>
      </c>
      <c r="E198" s="100" t="n">
        <v>265000</v>
      </c>
      <c r="F198" s="81" t="n">
        <f aca="false">C198*E198</f>
        <v>3180000</v>
      </c>
      <c r="G198" s="82"/>
      <c r="H198" s="83"/>
      <c r="I198" s="79"/>
      <c r="J198" s="80"/>
      <c r="K198" s="79"/>
      <c r="L198" s="79"/>
      <c r="M198" s="100"/>
      <c r="N198" s="81"/>
      <c r="O198" s="123"/>
      <c r="P198" s="101"/>
      <c r="Q198" s="188" t="n">
        <f aca="false">F198-N198</f>
        <v>3180000</v>
      </c>
      <c r="R198" s="101"/>
      <c r="S198" s="189"/>
      <c r="T198" s="52" t="n">
        <f aca="false">N198-F198</f>
        <v>-3180000</v>
      </c>
      <c r="V198" s="88" t="n">
        <v>3180000</v>
      </c>
    </row>
    <row r="199" customFormat="false" ht="30" hidden="false" customHeight="true" outlineLevel="1" collapsed="false">
      <c r="A199" s="79"/>
      <c r="B199" s="80" t="s">
        <v>185</v>
      </c>
      <c r="C199" s="79" t="n">
        <v>1</v>
      </c>
      <c r="D199" s="79" t="s">
        <v>55</v>
      </c>
      <c r="E199" s="100" t="n">
        <v>1868000</v>
      </c>
      <c r="F199" s="81" t="n">
        <f aca="false">C199*E199</f>
        <v>1868000</v>
      </c>
      <c r="G199" s="82"/>
      <c r="H199" s="83"/>
      <c r="I199" s="79"/>
      <c r="J199" s="80" t="s">
        <v>185</v>
      </c>
      <c r="K199" s="79" t="n">
        <v>2</v>
      </c>
      <c r="L199" s="79" t="s">
        <v>55</v>
      </c>
      <c r="M199" s="100" t="n">
        <v>2394000</v>
      </c>
      <c r="N199" s="81" t="n">
        <f aca="false">K199*M199</f>
        <v>4788000</v>
      </c>
      <c r="O199" s="123"/>
      <c r="P199" s="190"/>
      <c r="Q199" s="188" t="n">
        <f aca="false">F199-N199</f>
        <v>-2920000</v>
      </c>
      <c r="R199" s="190"/>
      <c r="S199" s="189"/>
      <c r="T199" s="52" t="n">
        <f aca="false">N199-F199</f>
        <v>2920000</v>
      </c>
      <c r="V199" s="88" t="n">
        <v>934</v>
      </c>
    </row>
    <row r="200" customFormat="false" ht="30" hidden="false" customHeight="true" outlineLevel="1" collapsed="false">
      <c r="A200" s="79"/>
      <c r="B200" s="80" t="s">
        <v>186</v>
      </c>
      <c r="C200" s="79" t="n">
        <v>8</v>
      </c>
      <c r="D200" s="79" t="s">
        <v>151</v>
      </c>
      <c r="E200" s="100" t="n">
        <v>365000</v>
      </c>
      <c r="F200" s="81" t="n">
        <f aca="false">C200*E200</f>
        <v>2920000</v>
      </c>
      <c r="G200" s="82"/>
      <c r="H200" s="83"/>
      <c r="I200" s="79"/>
      <c r="J200" s="80"/>
      <c r="K200" s="79"/>
      <c r="L200" s="79"/>
      <c r="M200" s="100"/>
      <c r="N200" s="81"/>
      <c r="O200" s="123"/>
      <c r="P200" s="101"/>
      <c r="Q200" s="188" t="n">
        <f aca="false">F200-N200</f>
        <v>2920000</v>
      </c>
      <c r="R200" s="101"/>
      <c r="S200" s="189"/>
      <c r="T200" s="52" t="n">
        <f aca="false">N200-F200</f>
        <v>-2920000</v>
      </c>
      <c r="V200" s="88" t="n">
        <v>2920000</v>
      </c>
    </row>
    <row r="201" customFormat="false" ht="30" hidden="false" customHeight="true" outlineLevel="1" collapsed="false">
      <c r="A201" s="79"/>
      <c r="B201" s="80" t="s">
        <v>187</v>
      </c>
      <c r="C201" s="79" t="n">
        <v>4</v>
      </c>
      <c r="D201" s="79" t="s">
        <v>188</v>
      </c>
      <c r="E201" s="100" t="n">
        <v>1337000</v>
      </c>
      <c r="F201" s="81" t="n">
        <f aca="false">C201*E201</f>
        <v>5348000</v>
      </c>
      <c r="G201" s="82"/>
      <c r="H201" s="83"/>
      <c r="I201" s="79"/>
      <c r="J201" s="80" t="s">
        <v>187</v>
      </c>
      <c r="K201" s="79" t="n">
        <f aca="false">2*1*2</f>
        <v>4</v>
      </c>
      <c r="L201" s="79" t="s">
        <v>188</v>
      </c>
      <c r="M201" s="100" t="n">
        <v>2674000</v>
      </c>
      <c r="N201" s="81" t="n">
        <f aca="false">K201*M201</f>
        <v>10696000</v>
      </c>
      <c r="O201" s="123"/>
      <c r="P201" s="190"/>
      <c r="Q201" s="188" t="n">
        <f aca="false">F201-N201</f>
        <v>-5348000</v>
      </c>
      <c r="R201" s="190"/>
      <c r="S201" s="191"/>
      <c r="T201" s="52" t="n">
        <f aca="false">N201-F201</f>
        <v>5348000</v>
      </c>
      <c r="V201" s="88" t="n">
        <v>0</v>
      </c>
    </row>
    <row r="202" customFormat="false" ht="30" hidden="false" customHeight="true" outlineLevel="1" collapsed="false">
      <c r="A202" s="79"/>
      <c r="B202" s="80" t="s">
        <v>189</v>
      </c>
      <c r="C202" s="79" t="n">
        <v>4</v>
      </c>
      <c r="D202" s="79" t="s">
        <v>188</v>
      </c>
      <c r="E202" s="100" t="n">
        <v>1337000</v>
      </c>
      <c r="F202" s="81" t="n">
        <f aca="false">C202*E202</f>
        <v>5348000</v>
      </c>
      <c r="G202" s="82"/>
      <c r="H202" s="83"/>
      <c r="I202" s="79"/>
      <c r="J202" s="80"/>
      <c r="K202" s="79"/>
      <c r="L202" s="79"/>
      <c r="M202" s="100"/>
      <c r="N202" s="81"/>
      <c r="O202" s="123"/>
      <c r="P202" s="101"/>
      <c r="Q202" s="188" t="n">
        <f aca="false">F202-N202</f>
        <v>5348000</v>
      </c>
      <c r="R202" s="101"/>
      <c r="S202" s="189"/>
      <c r="T202" s="52" t="n">
        <f aca="false">N202-F202</f>
        <v>-5348000</v>
      </c>
      <c r="V202" s="88" t="n">
        <v>5348000</v>
      </c>
    </row>
    <row r="203" customFormat="false" ht="30" hidden="false" customHeight="true" outlineLevel="0" collapsed="false">
      <c r="A203" s="62" t="s">
        <v>190</v>
      </c>
      <c r="B203" s="63" t="s">
        <v>191</v>
      </c>
      <c r="C203" s="64"/>
      <c r="D203" s="64"/>
      <c r="E203" s="65"/>
      <c r="F203" s="66" t="n">
        <f aca="false">SUM(F204,F208,F212)</f>
        <v>85020000</v>
      </c>
      <c r="G203" s="67"/>
      <c r="H203" s="48"/>
      <c r="I203" s="62" t="s">
        <v>190</v>
      </c>
      <c r="J203" s="63" t="s">
        <v>191</v>
      </c>
      <c r="K203" s="64"/>
      <c r="L203" s="64"/>
      <c r="M203" s="65"/>
      <c r="N203" s="66" t="n">
        <f aca="false">SUM(N204,N208,N212)</f>
        <v>76700000</v>
      </c>
      <c r="O203" s="68"/>
      <c r="P203" s="16"/>
      <c r="Q203" s="16"/>
      <c r="R203" s="16"/>
      <c r="S203" s="116" t="s">
        <v>63</v>
      </c>
      <c r="T203" s="18"/>
      <c r="V203" s="27" t="n">
        <v>23450000</v>
      </c>
    </row>
    <row r="204" customFormat="false" ht="30" hidden="false" customHeight="true" outlineLevel="1" collapsed="false">
      <c r="A204" s="70" t="n">
        <v>521219</v>
      </c>
      <c r="B204" s="71" t="s">
        <v>73</v>
      </c>
      <c r="C204" s="70"/>
      <c r="D204" s="70"/>
      <c r="E204" s="72"/>
      <c r="F204" s="73" t="n">
        <f aca="false">SUM(F206:F207)</f>
        <v>18240000</v>
      </c>
      <c r="G204" s="74"/>
      <c r="H204" s="75"/>
      <c r="I204" s="70" t="n">
        <v>521219</v>
      </c>
      <c r="J204" s="71" t="s">
        <v>73</v>
      </c>
      <c r="K204" s="70"/>
      <c r="L204" s="70"/>
      <c r="M204" s="72"/>
      <c r="N204" s="73" t="n">
        <f aca="false">SUM(N206:N207)</f>
        <v>9920000</v>
      </c>
      <c r="O204" s="78"/>
      <c r="P204" s="18"/>
      <c r="Q204" s="18"/>
      <c r="R204" s="18"/>
      <c r="S204" s="116"/>
      <c r="T204" s="18"/>
      <c r="V204" s="27" t="n">
        <v>10690000</v>
      </c>
    </row>
    <row r="205" customFormat="false" ht="30" hidden="false" customHeight="true" outlineLevel="1" collapsed="false">
      <c r="A205" s="70"/>
      <c r="B205" s="77" t="s">
        <v>32</v>
      </c>
      <c r="C205" s="70"/>
      <c r="D205" s="70"/>
      <c r="E205" s="72"/>
      <c r="F205" s="73"/>
      <c r="G205" s="74"/>
      <c r="H205" s="75"/>
      <c r="I205" s="70"/>
      <c r="J205" s="77" t="s">
        <v>32</v>
      </c>
      <c r="K205" s="70"/>
      <c r="L205" s="70"/>
      <c r="M205" s="72"/>
      <c r="N205" s="73"/>
      <c r="O205" s="78"/>
      <c r="P205" s="18"/>
      <c r="Q205" s="18"/>
      <c r="R205" s="18"/>
      <c r="S205" s="116"/>
      <c r="T205" s="18"/>
    </row>
    <row r="206" customFormat="false" ht="30" hidden="false" customHeight="true" outlineLevel="1" collapsed="false">
      <c r="A206" s="79"/>
      <c r="B206" s="80" t="s">
        <v>192</v>
      </c>
      <c r="C206" s="79" t="n">
        <f aca="false">45*1*5*5</f>
        <v>1125</v>
      </c>
      <c r="D206" s="79" t="s">
        <v>59</v>
      </c>
      <c r="E206" s="100" t="n">
        <v>12800</v>
      </c>
      <c r="F206" s="81" t="n">
        <f aca="false">E206*C206</f>
        <v>14400000</v>
      </c>
      <c r="G206" s="121"/>
      <c r="H206" s="122"/>
      <c r="I206" s="79"/>
      <c r="J206" s="80" t="s">
        <v>193</v>
      </c>
      <c r="K206" s="79" t="n">
        <f aca="false">25*5*5</f>
        <v>625</v>
      </c>
      <c r="L206" s="79" t="s">
        <v>59</v>
      </c>
      <c r="M206" s="100" t="n">
        <v>12800</v>
      </c>
      <c r="N206" s="81" t="n">
        <f aca="false">M206*K206</f>
        <v>8000000</v>
      </c>
      <c r="O206" s="84"/>
      <c r="P206" s="105"/>
      <c r="Q206" s="105"/>
      <c r="R206" s="177" t="n">
        <f aca="false">F206-N206</f>
        <v>6400000</v>
      </c>
      <c r="S206" s="116"/>
      <c r="T206" s="52" t="n">
        <f aca="false">N206-F206</f>
        <v>-6400000</v>
      </c>
      <c r="V206" s="88" t="n">
        <v>8400000</v>
      </c>
    </row>
    <row r="207" customFormat="false" ht="30" hidden="false" customHeight="true" outlineLevel="1" collapsed="false">
      <c r="A207" s="79"/>
      <c r="B207" s="80" t="s">
        <v>194</v>
      </c>
      <c r="C207" s="79" t="n">
        <f aca="false">30*1*5*2</f>
        <v>300</v>
      </c>
      <c r="D207" s="79" t="s">
        <v>59</v>
      </c>
      <c r="E207" s="100" t="n">
        <v>12800</v>
      </c>
      <c r="F207" s="81" t="n">
        <f aca="false">E207*C207</f>
        <v>3840000</v>
      </c>
      <c r="G207" s="121"/>
      <c r="H207" s="122"/>
      <c r="I207" s="79"/>
      <c r="J207" s="80" t="s">
        <v>195</v>
      </c>
      <c r="K207" s="79" t="n">
        <f aca="false">10*5*3</f>
        <v>150</v>
      </c>
      <c r="L207" s="79" t="s">
        <v>59</v>
      </c>
      <c r="M207" s="100" t="n">
        <v>12800</v>
      </c>
      <c r="N207" s="81" t="n">
        <f aca="false">M207*K207</f>
        <v>1920000</v>
      </c>
      <c r="O207" s="84"/>
      <c r="P207" s="105"/>
      <c r="Q207" s="105"/>
      <c r="R207" s="127" t="n">
        <f aca="false">F207-N207</f>
        <v>1920000</v>
      </c>
      <c r="S207" s="116"/>
      <c r="T207" s="52" t="n">
        <f aca="false">N207-F207</f>
        <v>-1920000</v>
      </c>
      <c r="V207" s="88" t="n">
        <v>2290000</v>
      </c>
    </row>
    <row r="208" customFormat="false" ht="30" hidden="false" customHeight="true" outlineLevel="1" collapsed="false">
      <c r="A208" s="70" t="n">
        <v>524111</v>
      </c>
      <c r="B208" s="71" t="s">
        <v>37</v>
      </c>
      <c r="C208" s="70"/>
      <c r="D208" s="70"/>
      <c r="E208" s="72"/>
      <c r="F208" s="73" t="n">
        <f aca="false">SUM(F210:F211)</f>
        <v>58780000</v>
      </c>
      <c r="G208" s="74"/>
      <c r="H208" s="75"/>
      <c r="I208" s="70" t="n">
        <v>524111</v>
      </c>
      <c r="J208" s="71" t="s">
        <v>37</v>
      </c>
      <c r="K208" s="70"/>
      <c r="L208" s="70"/>
      <c r="M208" s="72"/>
      <c r="N208" s="73" t="n">
        <f aca="false">SUM(N210:N211)</f>
        <v>58780000</v>
      </c>
      <c r="O208" s="76" t="n">
        <f aca="false">SUM(O210:O211)</f>
        <v>0</v>
      </c>
      <c r="P208" s="18"/>
      <c r="Q208" s="18"/>
      <c r="R208" s="18"/>
      <c r="S208" s="116"/>
      <c r="T208" s="18"/>
      <c r="V208" s="27" t="n">
        <v>12760000</v>
      </c>
    </row>
    <row r="209" customFormat="false" ht="30" hidden="false" customHeight="true" outlineLevel="1" collapsed="false">
      <c r="A209" s="70"/>
      <c r="B209" s="77" t="s">
        <v>32</v>
      </c>
      <c r="C209" s="70"/>
      <c r="D209" s="70"/>
      <c r="E209" s="72"/>
      <c r="F209" s="73"/>
      <c r="G209" s="74"/>
      <c r="H209" s="75"/>
      <c r="I209" s="70"/>
      <c r="J209" s="77" t="s">
        <v>32</v>
      </c>
      <c r="K209" s="70"/>
      <c r="L209" s="70"/>
      <c r="M209" s="72"/>
      <c r="N209" s="73"/>
      <c r="O209" s="78"/>
      <c r="P209" s="18"/>
      <c r="Q209" s="18"/>
      <c r="R209" s="18"/>
      <c r="S209" s="116"/>
      <c r="T209" s="18"/>
    </row>
    <row r="210" customFormat="false" ht="30" hidden="false" customHeight="true" outlineLevel="1" collapsed="false">
      <c r="A210" s="89"/>
      <c r="B210" s="90" t="s">
        <v>196</v>
      </c>
      <c r="C210" s="89" t="n">
        <v>1</v>
      </c>
      <c r="D210" s="89" t="s">
        <v>55</v>
      </c>
      <c r="E210" s="96" t="n">
        <v>31570000</v>
      </c>
      <c r="F210" s="91" t="n">
        <f aca="false">E210*C210</f>
        <v>31570000</v>
      </c>
      <c r="G210" s="117"/>
      <c r="H210" s="118"/>
      <c r="I210" s="89"/>
      <c r="J210" s="90" t="s">
        <v>196</v>
      </c>
      <c r="K210" s="89" t="n">
        <v>1</v>
      </c>
      <c r="L210" s="89" t="s">
        <v>55</v>
      </c>
      <c r="M210" s="96" t="n">
        <v>31570000</v>
      </c>
      <c r="N210" s="91" t="n">
        <f aca="false">M210*K210</f>
        <v>31570000</v>
      </c>
      <c r="O210" s="119"/>
      <c r="P210" s="95"/>
      <c r="Q210" s="95"/>
      <c r="R210" s="95"/>
      <c r="S210" s="116"/>
      <c r="T210" s="16"/>
      <c r="V210" s="88" t="n">
        <v>6560000</v>
      </c>
    </row>
    <row r="211" customFormat="false" ht="30" hidden="false" customHeight="true" outlineLevel="1" collapsed="false">
      <c r="A211" s="89"/>
      <c r="B211" s="90" t="s">
        <v>197</v>
      </c>
      <c r="C211" s="89" t="n">
        <v>1</v>
      </c>
      <c r="D211" s="89" t="s">
        <v>151</v>
      </c>
      <c r="E211" s="96" t="n">
        <v>27210000</v>
      </c>
      <c r="F211" s="91" t="n">
        <f aca="false">E211*C211</f>
        <v>27210000</v>
      </c>
      <c r="G211" s="117"/>
      <c r="H211" s="118"/>
      <c r="I211" s="89"/>
      <c r="J211" s="90" t="s">
        <v>197</v>
      </c>
      <c r="K211" s="89" t="n">
        <v>1</v>
      </c>
      <c r="L211" s="89" t="s">
        <v>151</v>
      </c>
      <c r="M211" s="96" t="n">
        <v>27210000</v>
      </c>
      <c r="N211" s="91" t="n">
        <f aca="false">M211*K211</f>
        <v>27210000</v>
      </c>
      <c r="O211" s="119"/>
      <c r="P211" s="95"/>
      <c r="Q211" s="95"/>
      <c r="R211" s="95"/>
      <c r="S211" s="116"/>
      <c r="T211" s="16"/>
      <c r="V211" s="88" t="n">
        <v>6200000</v>
      </c>
    </row>
    <row r="212" customFormat="false" ht="30" hidden="false" customHeight="true" outlineLevel="1" collapsed="false">
      <c r="A212" s="70" t="n">
        <v>524113</v>
      </c>
      <c r="B212" s="71" t="s">
        <v>40</v>
      </c>
      <c r="C212" s="70"/>
      <c r="D212" s="70"/>
      <c r="E212" s="72"/>
      <c r="F212" s="73" t="n">
        <f aca="false">SUM(F214)</f>
        <v>8000000</v>
      </c>
      <c r="G212" s="74"/>
      <c r="H212" s="75"/>
      <c r="I212" s="70" t="n">
        <v>524113</v>
      </c>
      <c r="J212" s="71" t="s">
        <v>40</v>
      </c>
      <c r="K212" s="70"/>
      <c r="L212" s="70"/>
      <c r="M212" s="72"/>
      <c r="N212" s="73" t="n">
        <f aca="false">SUM(N214)</f>
        <v>8000000</v>
      </c>
      <c r="O212" s="76"/>
      <c r="P212" s="18"/>
      <c r="Q212" s="18"/>
      <c r="R212" s="18"/>
      <c r="S212" s="192"/>
      <c r="T212" s="18"/>
      <c r="V212" s="27" t="n">
        <v>0</v>
      </c>
    </row>
    <row r="213" customFormat="false" ht="30" hidden="false" customHeight="true" outlineLevel="1" collapsed="false">
      <c r="A213" s="70"/>
      <c r="B213" s="77" t="s">
        <v>32</v>
      </c>
      <c r="C213" s="70"/>
      <c r="D213" s="70"/>
      <c r="E213" s="72"/>
      <c r="F213" s="73"/>
      <c r="G213" s="74"/>
      <c r="H213" s="75"/>
      <c r="I213" s="70"/>
      <c r="J213" s="77" t="s">
        <v>32</v>
      </c>
      <c r="K213" s="70"/>
      <c r="L213" s="70"/>
      <c r="M213" s="72"/>
      <c r="N213" s="73"/>
      <c r="O213" s="78"/>
      <c r="P213" s="18"/>
      <c r="Q213" s="18"/>
      <c r="R213" s="18"/>
      <c r="S213" s="192"/>
      <c r="T213" s="18"/>
    </row>
    <row r="214" customFormat="false" ht="30" hidden="false" customHeight="true" outlineLevel="1" collapsed="false">
      <c r="A214" s="89"/>
      <c r="B214" s="90" t="s">
        <v>198</v>
      </c>
      <c r="C214" s="89" t="n">
        <f aca="false">5*5*2</f>
        <v>50</v>
      </c>
      <c r="D214" s="89" t="s">
        <v>151</v>
      </c>
      <c r="E214" s="96" t="n">
        <v>160000</v>
      </c>
      <c r="F214" s="91" t="n">
        <f aca="false">E214*C214</f>
        <v>8000000</v>
      </c>
      <c r="G214" s="117" t="s">
        <v>39</v>
      </c>
      <c r="H214" s="118"/>
      <c r="I214" s="89"/>
      <c r="J214" s="90" t="s">
        <v>198</v>
      </c>
      <c r="K214" s="89" t="n">
        <f aca="false">5*5*2</f>
        <v>50</v>
      </c>
      <c r="L214" s="89" t="s">
        <v>151</v>
      </c>
      <c r="M214" s="96" t="n">
        <v>160000</v>
      </c>
      <c r="N214" s="91" t="n">
        <f aca="false">M214*K214</f>
        <v>8000000</v>
      </c>
      <c r="O214" s="126" t="n">
        <v>4000000</v>
      </c>
      <c r="P214" s="95"/>
      <c r="Q214" s="95"/>
      <c r="R214" s="95"/>
      <c r="S214" s="193"/>
      <c r="T214" s="16"/>
      <c r="V214" s="88" t="n">
        <v>0</v>
      </c>
    </row>
    <row r="215" customFormat="false" ht="31.5" hidden="true" customHeight="true" outlineLevel="0" collapsed="false">
      <c r="A215" s="194"/>
      <c r="B215" s="44" t="s">
        <v>199</v>
      </c>
      <c r="C215" s="43"/>
      <c r="D215" s="43"/>
      <c r="E215" s="45"/>
      <c r="F215" s="46"/>
      <c r="G215" s="195"/>
      <c r="H215" s="196"/>
      <c r="I215" s="194"/>
      <c r="J215" s="44"/>
      <c r="K215" s="43"/>
      <c r="L215" s="43"/>
      <c r="M215" s="45"/>
      <c r="N215" s="46" t="n">
        <v>3174687000</v>
      </c>
      <c r="O215" s="195"/>
      <c r="P215" s="95" t="n">
        <f aca="false">SUM(P19:P202)</f>
        <v>8928000</v>
      </c>
      <c r="Q215" s="95" t="n">
        <f aca="false">SUM(Q19:Q202)</f>
        <v>0</v>
      </c>
      <c r="R215" s="95" t="n">
        <f aca="false">SUM(R19:R202)</f>
        <v>-75320000</v>
      </c>
      <c r="T215" s="18"/>
    </row>
    <row r="216" customFormat="false" ht="26.25" hidden="true" customHeight="true" outlineLevel="0" collapsed="false">
      <c r="A216" s="197"/>
      <c r="B216" s="198" t="s">
        <v>200</v>
      </c>
      <c r="C216" s="199"/>
      <c r="D216" s="199"/>
      <c r="E216" s="200"/>
      <c r="F216" s="201" t="n">
        <v>3174687000</v>
      </c>
      <c r="G216" s="202"/>
      <c r="H216" s="196"/>
      <c r="I216" s="197"/>
      <c r="J216" s="198"/>
      <c r="K216" s="199"/>
      <c r="L216" s="199"/>
      <c r="M216" s="200"/>
      <c r="N216" s="203" t="n">
        <v>3174687000</v>
      </c>
      <c r="O216" s="204"/>
      <c r="P216" s="1"/>
      <c r="Q216" s="1"/>
      <c r="R216" s="1"/>
      <c r="T216" s="18"/>
    </row>
    <row r="217" customFormat="false" ht="33" hidden="false" customHeight="true" outlineLevel="0" collapsed="false">
      <c r="A217" s="19" t="s">
        <v>201</v>
      </c>
      <c r="B217" s="20" t="s">
        <v>202</v>
      </c>
      <c r="C217" s="19"/>
      <c r="D217" s="19"/>
      <c r="E217" s="21"/>
      <c r="F217" s="22" t="n">
        <f aca="false">F218</f>
        <v>0</v>
      </c>
      <c r="G217" s="23"/>
      <c r="H217" s="24"/>
      <c r="I217" s="19" t="s">
        <v>201</v>
      </c>
      <c r="J217" s="20" t="s">
        <v>202</v>
      </c>
      <c r="K217" s="19"/>
      <c r="L217" s="19"/>
      <c r="M217" s="21"/>
      <c r="N217" s="22" t="n">
        <f aca="false">N218</f>
        <v>0</v>
      </c>
      <c r="O217" s="25"/>
      <c r="P217" s="26"/>
      <c r="Q217" s="26"/>
      <c r="R217" s="26"/>
      <c r="S217" s="17"/>
      <c r="T217" s="18"/>
      <c r="V217" s="27" t="n">
        <v>2977516960</v>
      </c>
    </row>
    <row r="218" customFormat="false" ht="48.75" hidden="false" customHeight="true" outlineLevel="0" collapsed="false">
      <c r="A218" s="19" t="n">
        <v>7427</v>
      </c>
      <c r="B218" s="20" t="s">
        <v>203</v>
      </c>
      <c r="C218" s="19"/>
      <c r="D218" s="19"/>
      <c r="E218" s="21"/>
      <c r="F218" s="28" t="n">
        <f aca="false">F219</f>
        <v>0</v>
      </c>
      <c r="G218" s="23"/>
      <c r="H218" s="24"/>
      <c r="I218" s="19" t="n">
        <v>7427</v>
      </c>
      <c r="J218" s="20" t="s">
        <v>203</v>
      </c>
      <c r="K218" s="19"/>
      <c r="L218" s="19"/>
      <c r="M218" s="21"/>
      <c r="N218" s="28" t="n">
        <f aca="false">N219</f>
        <v>0</v>
      </c>
      <c r="O218" s="29"/>
      <c r="P218" s="26"/>
      <c r="Q218" s="26"/>
      <c r="R218" s="26"/>
      <c r="S218" s="17"/>
      <c r="T218" s="18"/>
      <c r="V218" s="27" t="n">
        <v>2977516960</v>
      </c>
    </row>
    <row r="219" customFormat="false" ht="30" hidden="false" customHeight="true" outlineLevel="0" collapsed="false">
      <c r="A219" s="12" t="s">
        <v>204</v>
      </c>
      <c r="B219" s="30" t="s">
        <v>205</v>
      </c>
      <c r="C219" s="12"/>
      <c r="D219" s="12"/>
      <c r="E219" s="31"/>
      <c r="F219" s="28" t="n">
        <f aca="false">F431+F688+F697+F725</f>
        <v>0</v>
      </c>
      <c r="G219" s="32"/>
      <c r="H219" s="33"/>
      <c r="I219" s="12" t="s">
        <v>204</v>
      </c>
      <c r="J219" s="30" t="s">
        <v>205</v>
      </c>
      <c r="K219" s="12"/>
      <c r="L219" s="12"/>
      <c r="M219" s="31"/>
      <c r="N219" s="28" t="n">
        <f aca="false">N431+N688+N697+N725</f>
        <v>0</v>
      </c>
      <c r="O219" s="34" t="n">
        <f aca="false">O431+O688+O697+O725</f>
        <v>0</v>
      </c>
      <c r="P219" s="35" t="n">
        <f aca="false">SUM(P433:P751)</f>
        <v>0</v>
      </c>
      <c r="Q219" s="35" t="n">
        <f aca="false">SUM(Q433:Q751)</f>
        <v>0</v>
      </c>
      <c r="R219" s="35" t="n">
        <f aca="false">SUM(R433:R751)</f>
        <v>0</v>
      </c>
      <c r="S219" s="17"/>
      <c r="T219" s="18"/>
      <c r="V219" s="27" t="n">
        <v>2977368005</v>
      </c>
    </row>
    <row r="220" customFormat="false" ht="30" hidden="false" customHeight="true" outlineLevel="0" collapsed="false">
      <c r="A220" s="37"/>
      <c r="B220" s="38" t="s">
        <v>24</v>
      </c>
      <c r="C220" s="37"/>
      <c r="D220" s="39"/>
      <c r="E220" s="31"/>
      <c r="F220" s="40"/>
      <c r="G220" s="32"/>
      <c r="H220" s="33"/>
      <c r="I220" s="37"/>
      <c r="J220" s="38" t="s">
        <v>24</v>
      </c>
      <c r="K220" s="37"/>
      <c r="L220" s="39"/>
      <c r="M220" s="31"/>
      <c r="N220" s="40"/>
      <c r="O220" s="42"/>
      <c r="P220" s="26"/>
      <c r="Q220" s="26"/>
      <c r="R220" s="26"/>
      <c r="S220" s="17"/>
      <c r="T220" s="18"/>
    </row>
    <row r="221" customFormat="false" ht="45.75" hidden="false" customHeight="true" outlineLevel="0" collapsed="false">
      <c r="A221" s="43" t="s">
        <v>206</v>
      </c>
      <c r="B221" s="44" t="s">
        <v>207</v>
      </c>
      <c r="C221" s="43" t="n">
        <v>1</v>
      </c>
      <c r="D221" s="43" t="s">
        <v>27</v>
      </c>
      <c r="E221" s="45"/>
      <c r="F221" s="46" t="n">
        <f aca="false">F222</f>
        <v>33840000</v>
      </c>
      <c r="G221" s="47"/>
      <c r="H221" s="60"/>
      <c r="I221" s="43" t="s">
        <v>206</v>
      </c>
      <c r="J221" s="44" t="s">
        <v>207</v>
      </c>
      <c r="K221" s="43" t="n">
        <v>1</v>
      </c>
      <c r="L221" s="43" t="s">
        <v>27</v>
      </c>
      <c r="M221" s="45"/>
      <c r="N221" s="46" t="n">
        <f aca="false">N222</f>
        <v>33840000</v>
      </c>
      <c r="O221" s="205"/>
      <c r="P221" s="206"/>
      <c r="Q221" s="207" t="n">
        <f aca="false">SUM(Q222:Q231)</f>
        <v>0</v>
      </c>
      <c r="R221" s="207" t="n">
        <f aca="false">SUM(R222:R231)</f>
        <v>0</v>
      </c>
      <c r="S221" s="17"/>
      <c r="T221" s="128" t="n">
        <f aca="false">N221-F221</f>
        <v>0</v>
      </c>
      <c r="V221" s="27" t="n">
        <v>23052712</v>
      </c>
    </row>
    <row r="222" customFormat="false" ht="30" hidden="false" customHeight="true" outlineLevel="0" collapsed="false">
      <c r="A222" s="55" t="n">
        <v>105</v>
      </c>
      <c r="B222" s="56" t="s">
        <v>208</v>
      </c>
      <c r="C222" s="55"/>
      <c r="D222" s="55"/>
      <c r="E222" s="57"/>
      <c r="F222" s="58" t="n">
        <f aca="false">SUM(F223,F227)</f>
        <v>33840000</v>
      </c>
      <c r="G222" s="59"/>
      <c r="H222" s="60"/>
      <c r="I222" s="55" t="n">
        <v>105</v>
      </c>
      <c r="J222" s="56" t="s">
        <v>208</v>
      </c>
      <c r="K222" s="55"/>
      <c r="L222" s="55"/>
      <c r="M222" s="57"/>
      <c r="N222" s="58" t="n">
        <f aca="false">SUM(N223,N227)</f>
        <v>33840000</v>
      </c>
      <c r="O222" s="61"/>
      <c r="P222" s="16"/>
      <c r="Q222" s="69"/>
      <c r="R222" s="69"/>
      <c r="S222" s="17"/>
      <c r="T222" s="18"/>
      <c r="V222" s="27" t="n">
        <v>23052712</v>
      </c>
    </row>
    <row r="223" customFormat="false" ht="36" hidden="false" customHeight="true" outlineLevel="0" collapsed="false">
      <c r="A223" s="62" t="s">
        <v>29</v>
      </c>
      <c r="B223" s="63" t="s">
        <v>209</v>
      </c>
      <c r="C223" s="64"/>
      <c r="D223" s="64"/>
      <c r="E223" s="65"/>
      <c r="F223" s="66" t="n">
        <f aca="false">SUM(F224)</f>
        <v>3840000</v>
      </c>
      <c r="G223" s="67"/>
      <c r="H223" s="48"/>
      <c r="I223" s="62" t="s">
        <v>29</v>
      </c>
      <c r="J223" s="63" t="s">
        <v>210</v>
      </c>
      <c r="K223" s="64"/>
      <c r="L223" s="64"/>
      <c r="M223" s="65"/>
      <c r="N223" s="66" t="n">
        <f aca="false">SUM(N224)</f>
        <v>7340000</v>
      </c>
      <c r="O223" s="68"/>
      <c r="P223" s="69"/>
      <c r="Q223" s="69"/>
      <c r="R223" s="69"/>
      <c r="S223" s="17"/>
      <c r="T223" s="18"/>
      <c r="V223" s="27" t="n">
        <v>841252</v>
      </c>
    </row>
    <row r="224" customFormat="false" ht="30" hidden="false" customHeight="true" outlineLevel="1" collapsed="false">
      <c r="A224" s="70" t="n">
        <v>521219</v>
      </c>
      <c r="B224" s="71" t="s">
        <v>73</v>
      </c>
      <c r="C224" s="70"/>
      <c r="D224" s="70"/>
      <c r="E224" s="72"/>
      <c r="F224" s="73" t="n">
        <f aca="false">SUM(F226:F226)</f>
        <v>3840000</v>
      </c>
      <c r="G224" s="74"/>
      <c r="H224" s="75"/>
      <c r="I224" s="70" t="n">
        <v>521219</v>
      </c>
      <c r="J224" s="71" t="s">
        <v>73</v>
      </c>
      <c r="K224" s="70"/>
      <c r="L224" s="70"/>
      <c r="M224" s="72"/>
      <c r="N224" s="73" t="n">
        <f aca="false">SUM(N226:N226)</f>
        <v>7340000</v>
      </c>
      <c r="O224" s="76"/>
      <c r="P224" s="18"/>
      <c r="Q224" s="18"/>
      <c r="R224" s="18"/>
      <c r="S224" s="17"/>
      <c r="T224" s="18"/>
      <c r="V224" s="27" t="n">
        <v>841252</v>
      </c>
    </row>
    <row r="225" customFormat="false" ht="30" hidden="false" customHeight="true" outlineLevel="1" collapsed="false">
      <c r="A225" s="70"/>
      <c r="B225" s="77" t="s">
        <v>32</v>
      </c>
      <c r="C225" s="70"/>
      <c r="D225" s="70"/>
      <c r="E225" s="72"/>
      <c r="F225" s="73"/>
      <c r="G225" s="74"/>
      <c r="H225" s="75"/>
      <c r="I225" s="70"/>
      <c r="J225" s="77" t="s">
        <v>32</v>
      </c>
      <c r="K225" s="70"/>
      <c r="L225" s="70"/>
      <c r="M225" s="72"/>
      <c r="N225" s="73"/>
      <c r="O225" s="78"/>
      <c r="P225" s="18"/>
      <c r="Q225" s="18"/>
      <c r="R225" s="18"/>
      <c r="S225" s="17"/>
      <c r="T225" s="18"/>
    </row>
    <row r="226" customFormat="false" ht="30" hidden="false" customHeight="true" outlineLevel="1" collapsed="false">
      <c r="A226" s="79"/>
      <c r="B226" s="80" t="s">
        <v>211</v>
      </c>
      <c r="C226" s="79" t="n">
        <v>1</v>
      </c>
      <c r="D226" s="79" t="s">
        <v>34</v>
      </c>
      <c r="E226" s="100" t="n">
        <v>3840000</v>
      </c>
      <c r="F226" s="81" t="n">
        <f aca="false">C226*E226</f>
        <v>3840000</v>
      </c>
      <c r="G226" s="82"/>
      <c r="H226" s="83"/>
      <c r="I226" s="79"/>
      <c r="J226" s="80" t="s">
        <v>212</v>
      </c>
      <c r="K226" s="79" t="n">
        <v>1</v>
      </c>
      <c r="L226" s="79" t="s">
        <v>34</v>
      </c>
      <c r="M226" s="100" t="n">
        <v>7340000</v>
      </c>
      <c r="N226" s="81" t="n">
        <f aca="false">K226*M226</f>
        <v>7340000</v>
      </c>
      <c r="O226" s="84"/>
      <c r="P226" s="105"/>
      <c r="Q226" s="105"/>
      <c r="R226" s="188" t="n">
        <f aca="false">F226-N226</f>
        <v>-3500000</v>
      </c>
      <c r="S226" s="87"/>
      <c r="T226" s="52" t="n">
        <f aca="false">N226-F226</f>
        <v>3500000</v>
      </c>
      <c r="V226" s="88" t="n">
        <v>841252</v>
      </c>
    </row>
    <row r="227" customFormat="false" ht="57" hidden="false" customHeight="true" outlineLevel="0" collapsed="false">
      <c r="A227" s="62" t="s">
        <v>61</v>
      </c>
      <c r="B227" s="63" t="s">
        <v>213</v>
      </c>
      <c r="C227" s="64"/>
      <c r="D227" s="64"/>
      <c r="E227" s="65"/>
      <c r="F227" s="66" t="n">
        <f aca="false">SUM(F228,F235,F238,F241,F244,F247,F250,F253,F256,F259,F262,F265)</f>
        <v>30000000</v>
      </c>
      <c r="G227" s="67"/>
      <c r="H227" s="48"/>
      <c r="I227" s="62" t="s">
        <v>61</v>
      </c>
      <c r="J227" s="63" t="s">
        <v>213</v>
      </c>
      <c r="K227" s="64"/>
      <c r="L227" s="64"/>
      <c r="M227" s="65"/>
      <c r="N227" s="66" t="n">
        <f aca="false">SUM(N228,N235,N238,N241,N244,N247,N250,N253,N256,N259,N262,N265)</f>
        <v>26500000</v>
      </c>
      <c r="O227" s="68"/>
      <c r="P227" s="69"/>
      <c r="Q227" s="69"/>
      <c r="R227" s="69"/>
      <c r="S227" s="17"/>
      <c r="T227" s="18"/>
      <c r="V227" s="27" t="n">
        <v>22211460</v>
      </c>
    </row>
    <row r="228" customFormat="false" ht="30" hidden="false" customHeight="true" outlineLevel="1" collapsed="false">
      <c r="A228" s="70" t="n">
        <v>521219</v>
      </c>
      <c r="B228" s="71" t="s">
        <v>73</v>
      </c>
      <c r="C228" s="70"/>
      <c r="D228" s="70"/>
      <c r="E228" s="72"/>
      <c r="F228" s="73" t="n">
        <f aca="false">SUM(F230:F230)</f>
        <v>30000000</v>
      </c>
      <c r="G228" s="74"/>
      <c r="H228" s="75"/>
      <c r="I228" s="70" t="n">
        <v>521219</v>
      </c>
      <c r="J228" s="71" t="s">
        <v>73</v>
      </c>
      <c r="K228" s="70"/>
      <c r="L228" s="70"/>
      <c r="M228" s="72"/>
      <c r="N228" s="73" t="n">
        <f aca="false">SUM(N230:N230)</f>
        <v>26500000</v>
      </c>
      <c r="O228" s="76"/>
      <c r="P228" s="18"/>
      <c r="Q228" s="18"/>
      <c r="R228" s="18"/>
      <c r="S228" s="17"/>
      <c r="T228" s="18"/>
      <c r="V228" s="27" t="n">
        <v>22211460</v>
      </c>
    </row>
    <row r="229" customFormat="false" ht="30" hidden="false" customHeight="true" outlineLevel="1" collapsed="false">
      <c r="A229" s="70"/>
      <c r="B229" s="77" t="s">
        <v>32</v>
      </c>
      <c r="C229" s="70"/>
      <c r="D229" s="70"/>
      <c r="E229" s="72"/>
      <c r="F229" s="73"/>
      <c r="G229" s="74"/>
      <c r="H229" s="75"/>
      <c r="I229" s="70"/>
      <c r="J229" s="77" t="s">
        <v>32</v>
      </c>
      <c r="K229" s="70"/>
      <c r="L229" s="70"/>
      <c r="M229" s="72"/>
      <c r="N229" s="73"/>
      <c r="O229" s="78"/>
      <c r="P229" s="18"/>
      <c r="Q229" s="18"/>
      <c r="R229" s="18"/>
      <c r="S229" s="17"/>
      <c r="T229" s="18"/>
    </row>
    <row r="230" customFormat="false" ht="40.5" hidden="false" customHeight="true" outlineLevel="1" collapsed="false">
      <c r="A230" s="79"/>
      <c r="B230" s="80" t="s">
        <v>214</v>
      </c>
      <c r="C230" s="79" t="n">
        <v>1</v>
      </c>
      <c r="D230" s="79" t="s">
        <v>34</v>
      </c>
      <c r="E230" s="100" t="n">
        <v>30000000</v>
      </c>
      <c r="F230" s="81" t="n">
        <f aca="false">C230*E230</f>
        <v>30000000</v>
      </c>
      <c r="G230" s="82"/>
      <c r="H230" s="83"/>
      <c r="I230" s="79"/>
      <c r="J230" s="80" t="s">
        <v>214</v>
      </c>
      <c r="K230" s="79" t="n">
        <v>1</v>
      </c>
      <c r="L230" s="79" t="s">
        <v>34</v>
      </c>
      <c r="M230" s="100" t="n">
        <v>26500000</v>
      </c>
      <c r="N230" s="81" t="n">
        <f aca="false">K230*M230</f>
        <v>26500000</v>
      </c>
      <c r="O230" s="84"/>
      <c r="P230" s="105"/>
      <c r="Q230" s="105"/>
      <c r="R230" s="188" t="n">
        <f aca="false">F230-N230</f>
        <v>3500000</v>
      </c>
      <c r="S230" s="87"/>
      <c r="T230" s="52" t="n">
        <f aca="false">N230-F230</f>
        <v>-3500000</v>
      </c>
      <c r="V230" s="88" t="n">
        <v>22211460</v>
      </c>
    </row>
    <row r="231" customFormat="false" ht="45.75" hidden="false" customHeight="true" outlineLevel="0" collapsed="false">
      <c r="A231" s="43" t="s">
        <v>215</v>
      </c>
      <c r="B231" s="44" t="s">
        <v>216</v>
      </c>
      <c r="C231" s="43" t="n">
        <v>1</v>
      </c>
      <c r="D231" s="43" t="s">
        <v>27</v>
      </c>
      <c r="E231" s="45"/>
      <c r="F231" s="46" t="n">
        <f aca="false">SUM(F232,F301)</f>
        <v>13765171000</v>
      </c>
      <c r="G231" s="47"/>
      <c r="H231" s="60"/>
      <c r="I231" s="43" t="s">
        <v>215</v>
      </c>
      <c r="J231" s="44" t="s">
        <v>216</v>
      </c>
      <c r="K231" s="43" t="n">
        <v>1</v>
      </c>
      <c r="L231" s="43" t="s">
        <v>27</v>
      </c>
      <c r="M231" s="45"/>
      <c r="N231" s="46" t="n">
        <f aca="false">SUM(N232,N301)</f>
        <v>13765171000</v>
      </c>
      <c r="O231" s="205" t="n">
        <f aca="false">O232</f>
        <v>0</v>
      </c>
      <c r="P231" s="206"/>
      <c r="Q231" s="206"/>
      <c r="R231" s="206"/>
      <c r="S231" s="17"/>
      <c r="T231" s="128" t="n">
        <f aca="false">N231-F231</f>
        <v>0</v>
      </c>
      <c r="V231" s="27" t="n">
        <v>2954315293</v>
      </c>
    </row>
    <row r="232" customFormat="false" ht="30" hidden="false" customHeight="true" outlineLevel="0" collapsed="false">
      <c r="A232" s="55" t="s">
        <v>217</v>
      </c>
      <c r="B232" s="56" t="s">
        <v>218</v>
      </c>
      <c r="C232" s="55"/>
      <c r="D232" s="55"/>
      <c r="E232" s="57"/>
      <c r="F232" s="58" t="n">
        <f aca="false">SUM(F233,F270)</f>
        <v>8541606000</v>
      </c>
      <c r="G232" s="59"/>
      <c r="H232" s="60"/>
      <c r="I232" s="55" t="s">
        <v>217</v>
      </c>
      <c r="J232" s="56" t="s">
        <v>218</v>
      </c>
      <c r="K232" s="55"/>
      <c r="L232" s="55"/>
      <c r="M232" s="57"/>
      <c r="N232" s="58" t="n">
        <f aca="false">SUM(N233,N270)</f>
        <v>8541606000</v>
      </c>
      <c r="O232" s="61" t="n">
        <f aca="false">O437</f>
        <v>0</v>
      </c>
      <c r="P232" s="16"/>
      <c r="Q232" s="69" t="n">
        <f aca="false">SUM(Q233:Q300)</f>
        <v>0</v>
      </c>
      <c r="R232" s="69" t="n">
        <f aca="false">SUM(R233:R300)</f>
        <v>0</v>
      </c>
      <c r="S232" s="17"/>
      <c r="T232" s="128" t="n">
        <f aca="false">N232-F232</f>
        <v>0</v>
      </c>
      <c r="V232" s="27" t="n">
        <v>1831910082</v>
      </c>
    </row>
    <row r="233" customFormat="false" ht="22.5" hidden="false" customHeight="true" outlineLevel="0" collapsed="false">
      <c r="A233" s="62" t="s">
        <v>29</v>
      </c>
      <c r="B233" s="63" t="s">
        <v>219</v>
      </c>
      <c r="C233" s="64"/>
      <c r="D233" s="64"/>
      <c r="E233" s="65"/>
      <c r="F233" s="66" t="n">
        <f aca="false">SUM(F234,F237,F240,F243,F246,F249,F252,F255,F258,F261,F264,F267)</f>
        <v>5836856000</v>
      </c>
      <c r="G233" s="67"/>
      <c r="H233" s="48"/>
      <c r="I233" s="62" t="s">
        <v>29</v>
      </c>
      <c r="J233" s="63" t="s">
        <v>219</v>
      </c>
      <c r="K233" s="64"/>
      <c r="L233" s="64"/>
      <c r="M233" s="65"/>
      <c r="N233" s="66" t="n">
        <f aca="false">SUM(N234,N237,N240,N243,N246,N249,N252,N255,N258,N261,N264,N267)</f>
        <v>5811856000</v>
      </c>
      <c r="O233" s="68"/>
      <c r="P233" s="69"/>
      <c r="Q233" s="69"/>
      <c r="R233" s="69"/>
      <c r="S233" s="17"/>
      <c r="T233" s="128" t="n">
        <f aca="false">N233-F233</f>
        <v>-25000000</v>
      </c>
      <c r="U233" s="208" t="n">
        <f aca="false">SUM(T233:T300)</f>
        <v>0</v>
      </c>
      <c r="V233" s="27" t="n">
        <v>1240879586</v>
      </c>
    </row>
    <row r="234" customFormat="false" ht="30" hidden="false" customHeight="true" outlineLevel="1" collapsed="false">
      <c r="A234" s="70" t="n">
        <v>511111</v>
      </c>
      <c r="B234" s="71" t="s">
        <v>220</v>
      </c>
      <c r="C234" s="70"/>
      <c r="D234" s="70"/>
      <c r="E234" s="72"/>
      <c r="F234" s="73" t="n">
        <f aca="false">SUM(F236:F236)</f>
        <v>2021696000</v>
      </c>
      <c r="G234" s="74"/>
      <c r="H234" s="75"/>
      <c r="I234" s="70" t="n">
        <v>511111</v>
      </c>
      <c r="J234" s="71" t="s">
        <v>220</v>
      </c>
      <c r="K234" s="70"/>
      <c r="L234" s="70"/>
      <c r="M234" s="72"/>
      <c r="N234" s="73" t="n">
        <f aca="false">SUM(N236:N236)</f>
        <v>2021696000</v>
      </c>
      <c r="O234" s="76"/>
      <c r="P234" s="18"/>
      <c r="Q234" s="18"/>
      <c r="R234" s="18"/>
      <c r="S234" s="17"/>
      <c r="T234" s="18"/>
      <c r="V234" s="27" t="n">
        <v>322229880</v>
      </c>
    </row>
    <row r="235" customFormat="false" ht="30" hidden="false" customHeight="true" outlineLevel="1" collapsed="false">
      <c r="A235" s="70"/>
      <c r="B235" s="77" t="s">
        <v>32</v>
      </c>
      <c r="C235" s="70"/>
      <c r="D235" s="70"/>
      <c r="E235" s="72"/>
      <c r="F235" s="73"/>
      <c r="G235" s="74"/>
      <c r="H235" s="75"/>
      <c r="I235" s="70"/>
      <c r="J235" s="77" t="s">
        <v>32</v>
      </c>
      <c r="K235" s="70"/>
      <c r="L235" s="70"/>
      <c r="M235" s="72"/>
      <c r="N235" s="73"/>
      <c r="O235" s="78"/>
      <c r="P235" s="18"/>
      <c r="Q235" s="18"/>
      <c r="R235" s="18"/>
      <c r="S235" s="17"/>
      <c r="T235" s="18"/>
    </row>
    <row r="236" customFormat="false" ht="30" hidden="false" customHeight="true" outlineLevel="1" collapsed="false">
      <c r="A236" s="70"/>
      <c r="B236" s="77" t="s">
        <v>221</v>
      </c>
      <c r="C236" s="70" t="n">
        <v>1</v>
      </c>
      <c r="D236" s="70" t="s">
        <v>34</v>
      </c>
      <c r="E236" s="72" t="n">
        <v>2021696000</v>
      </c>
      <c r="F236" s="73" t="n">
        <f aca="false">C236*E236</f>
        <v>2021696000</v>
      </c>
      <c r="G236" s="98"/>
      <c r="H236" s="99"/>
      <c r="I236" s="70"/>
      <c r="J236" s="77" t="s">
        <v>221</v>
      </c>
      <c r="K236" s="70" t="n">
        <v>1</v>
      </c>
      <c r="L236" s="70" t="s">
        <v>34</v>
      </c>
      <c r="M236" s="72" t="n">
        <v>2021696000</v>
      </c>
      <c r="N236" s="73" t="n">
        <f aca="false">K236*M236</f>
        <v>2021696000</v>
      </c>
      <c r="O236" s="97"/>
      <c r="P236" s="16"/>
      <c r="Q236" s="16"/>
      <c r="R236" s="16"/>
      <c r="S236" s="87"/>
      <c r="T236" s="18"/>
      <c r="V236" s="88" t="n">
        <v>322229880</v>
      </c>
    </row>
    <row r="237" customFormat="false" ht="30" hidden="false" customHeight="true" outlineLevel="1" collapsed="false">
      <c r="A237" s="70" t="n">
        <v>511119</v>
      </c>
      <c r="B237" s="71" t="s">
        <v>222</v>
      </c>
      <c r="C237" s="70"/>
      <c r="D237" s="70"/>
      <c r="E237" s="72"/>
      <c r="F237" s="73" t="n">
        <f aca="false">SUM(F239:F239)</f>
        <v>60000</v>
      </c>
      <c r="G237" s="74"/>
      <c r="H237" s="75"/>
      <c r="I237" s="70" t="n">
        <v>511119</v>
      </c>
      <c r="J237" s="71" t="s">
        <v>222</v>
      </c>
      <c r="K237" s="70"/>
      <c r="L237" s="70"/>
      <c r="M237" s="72"/>
      <c r="N237" s="73" t="n">
        <f aca="false">SUM(N239:N239)</f>
        <v>60000</v>
      </c>
      <c r="O237" s="76"/>
      <c r="P237" s="18"/>
      <c r="Q237" s="18"/>
      <c r="R237" s="18"/>
      <c r="S237" s="17"/>
      <c r="T237" s="18"/>
      <c r="V237" s="27" t="n">
        <v>32555</v>
      </c>
    </row>
    <row r="238" customFormat="false" ht="30" hidden="false" customHeight="true" outlineLevel="1" collapsed="false">
      <c r="A238" s="70"/>
      <c r="B238" s="77" t="s">
        <v>32</v>
      </c>
      <c r="C238" s="70"/>
      <c r="D238" s="70"/>
      <c r="E238" s="72"/>
      <c r="F238" s="73"/>
      <c r="G238" s="74"/>
      <c r="H238" s="75"/>
      <c r="I238" s="70"/>
      <c r="J238" s="77" t="s">
        <v>32</v>
      </c>
      <c r="K238" s="70"/>
      <c r="L238" s="70"/>
      <c r="M238" s="72"/>
      <c r="N238" s="73"/>
      <c r="O238" s="78"/>
      <c r="P238" s="18"/>
      <c r="Q238" s="18"/>
      <c r="R238" s="18"/>
      <c r="S238" s="17"/>
      <c r="T238" s="18"/>
    </row>
    <row r="239" customFormat="false" ht="30" hidden="false" customHeight="true" outlineLevel="1" collapsed="false">
      <c r="A239" s="70"/>
      <c r="B239" s="77" t="s">
        <v>223</v>
      </c>
      <c r="C239" s="70" t="n">
        <v>1</v>
      </c>
      <c r="D239" s="70" t="s">
        <v>34</v>
      </c>
      <c r="E239" s="72" t="n">
        <v>60000</v>
      </c>
      <c r="F239" s="73" t="n">
        <f aca="false">C239*E239</f>
        <v>60000</v>
      </c>
      <c r="G239" s="98"/>
      <c r="H239" s="99"/>
      <c r="I239" s="70"/>
      <c r="J239" s="77" t="s">
        <v>223</v>
      </c>
      <c r="K239" s="70" t="n">
        <v>1</v>
      </c>
      <c r="L239" s="70" t="s">
        <v>34</v>
      </c>
      <c r="M239" s="72" t="n">
        <v>60000</v>
      </c>
      <c r="N239" s="73" t="n">
        <f aca="false">K239*M239</f>
        <v>60000</v>
      </c>
      <c r="O239" s="97"/>
      <c r="P239" s="16"/>
      <c r="Q239" s="16"/>
      <c r="R239" s="16"/>
      <c r="S239" s="87"/>
      <c r="T239" s="18"/>
      <c r="V239" s="88" t="n">
        <v>32555</v>
      </c>
    </row>
    <row r="240" customFormat="false" ht="30" hidden="false" customHeight="true" outlineLevel="1" collapsed="false">
      <c r="A240" s="70" t="n">
        <v>511121</v>
      </c>
      <c r="B240" s="71" t="s">
        <v>224</v>
      </c>
      <c r="C240" s="70"/>
      <c r="D240" s="70"/>
      <c r="E240" s="72"/>
      <c r="F240" s="73" t="n">
        <f aca="false">SUM(F242:F242)</f>
        <v>157000000</v>
      </c>
      <c r="G240" s="74"/>
      <c r="H240" s="75"/>
      <c r="I240" s="70" t="n">
        <v>511121</v>
      </c>
      <c r="J240" s="71" t="s">
        <v>224</v>
      </c>
      <c r="K240" s="70"/>
      <c r="L240" s="70"/>
      <c r="M240" s="72"/>
      <c r="N240" s="73" t="n">
        <f aca="false">SUM(N242:N242)</f>
        <v>157000000</v>
      </c>
      <c r="O240" s="76"/>
      <c r="P240" s="18"/>
      <c r="Q240" s="18"/>
      <c r="R240" s="18"/>
      <c r="S240" s="17"/>
      <c r="T240" s="18"/>
      <c r="V240" s="27" t="n">
        <v>23650770</v>
      </c>
    </row>
    <row r="241" customFormat="false" ht="30" hidden="false" customHeight="true" outlineLevel="1" collapsed="false">
      <c r="A241" s="70"/>
      <c r="B241" s="77" t="s">
        <v>32</v>
      </c>
      <c r="C241" s="70"/>
      <c r="D241" s="70"/>
      <c r="E241" s="72"/>
      <c r="F241" s="73"/>
      <c r="G241" s="74"/>
      <c r="H241" s="75"/>
      <c r="I241" s="70"/>
      <c r="J241" s="77" t="s">
        <v>32</v>
      </c>
      <c r="K241" s="70"/>
      <c r="L241" s="70"/>
      <c r="M241" s="72"/>
      <c r="N241" s="73"/>
      <c r="O241" s="78"/>
      <c r="P241" s="18"/>
      <c r="Q241" s="18"/>
      <c r="R241" s="18"/>
      <c r="S241" s="17"/>
      <c r="T241" s="18"/>
    </row>
    <row r="242" customFormat="false" ht="30" hidden="false" customHeight="true" outlineLevel="1" collapsed="false">
      <c r="A242" s="70"/>
      <c r="B242" s="77" t="s">
        <v>225</v>
      </c>
      <c r="C242" s="70" t="n">
        <v>1</v>
      </c>
      <c r="D242" s="70" t="s">
        <v>34</v>
      </c>
      <c r="E242" s="72" t="n">
        <v>157000000</v>
      </c>
      <c r="F242" s="73" t="n">
        <f aca="false">C242*E242</f>
        <v>157000000</v>
      </c>
      <c r="G242" s="98"/>
      <c r="H242" s="99"/>
      <c r="I242" s="70"/>
      <c r="J242" s="77" t="s">
        <v>225</v>
      </c>
      <c r="K242" s="70" t="n">
        <v>1</v>
      </c>
      <c r="L242" s="70" t="s">
        <v>34</v>
      </c>
      <c r="M242" s="72" t="n">
        <v>157000000</v>
      </c>
      <c r="N242" s="73" t="n">
        <f aca="false">K242*M242</f>
        <v>157000000</v>
      </c>
      <c r="O242" s="97"/>
      <c r="P242" s="16"/>
      <c r="Q242" s="16"/>
      <c r="R242" s="16"/>
      <c r="S242" s="87"/>
      <c r="T242" s="18"/>
      <c r="V242" s="88" t="n">
        <v>23650770</v>
      </c>
    </row>
    <row r="243" customFormat="false" ht="30" hidden="false" customHeight="true" outlineLevel="1" collapsed="false">
      <c r="A243" s="70" t="n">
        <v>511122</v>
      </c>
      <c r="B243" s="71" t="s">
        <v>226</v>
      </c>
      <c r="C243" s="70"/>
      <c r="D243" s="70"/>
      <c r="E243" s="72"/>
      <c r="F243" s="73" t="n">
        <f aca="false">SUM(F245:F245)</f>
        <v>55000000</v>
      </c>
      <c r="G243" s="74"/>
      <c r="H243" s="75"/>
      <c r="I243" s="70" t="n">
        <v>511122</v>
      </c>
      <c r="J243" s="71" t="s">
        <v>226</v>
      </c>
      <c r="K243" s="70"/>
      <c r="L243" s="70"/>
      <c r="M243" s="72"/>
      <c r="N243" s="73" t="n">
        <f aca="false">SUM(N245:N245)</f>
        <v>55000000</v>
      </c>
      <c r="O243" s="76"/>
      <c r="P243" s="18"/>
      <c r="Q243" s="18"/>
      <c r="R243" s="18"/>
      <c r="S243" s="17"/>
      <c r="T243" s="18"/>
      <c r="V243" s="27" t="n">
        <v>10266900</v>
      </c>
    </row>
    <row r="244" customFormat="false" ht="30" hidden="false" customHeight="true" outlineLevel="1" collapsed="false">
      <c r="A244" s="70"/>
      <c r="B244" s="77" t="s">
        <v>32</v>
      </c>
      <c r="C244" s="70"/>
      <c r="D244" s="70"/>
      <c r="E244" s="72"/>
      <c r="F244" s="73"/>
      <c r="G244" s="74"/>
      <c r="H244" s="75"/>
      <c r="I244" s="70"/>
      <c r="J244" s="77" t="s">
        <v>32</v>
      </c>
      <c r="K244" s="70"/>
      <c r="L244" s="70"/>
      <c r="M244" s="72"/>
      <c r="N244" s="73"/>
      <c r="O244" s="78"/>
      <c r="P244" s="18"/>
      <c r="Q244" s="18"/>
      <c r="R244" s="18"/>
      <c r="S244" s="17"/>
      <c r="T244" s="18"/>
    </row>
    <row r="245" customFormat="false" ht="30" hidden="false" customHeight="true" outlineLevel="1" collapsed="false">
      <c r="A245" s="70"/>
      <c r="B245" s="77" t="s">
        <v>227</v>
      </c>
      <c r="C245" s="70" t="n">
        <v>1</v>
      </c>
      <c r="D245" s="70" t="s">
        <v>34</v>
      </c>
      <c r="E245" s="72" t="n">
        <v>55000000</v>
      </c>
      <c r="F245" s="73" t="n">
        <f aca="false">C245*E245</f>
        <v>55000000</v>
      </c>
      <c r="G245" s="98"/>
      <c r="H245" s="99"/>
      <c r="I245" s="70"/>
      <c r="J245" s="77" t="s">
        <v>227</v>
      </c>
      <c r="K245" s="70" t="n">
        <v>1</v>
      </c>
      <c r="L245" s="70" t="s">
        <v>34</v>
      </c>
      <c r="M245" s="72" t="n">
        <v>55000000</v>
      </c>
      <c r="N245" s="73" t="n">
        <f aca="false">K245*M245</f>
        <v>55000000</v>
      </c>
      <c r="O245" s="97"/>
      <c r="P245" s="16"/>
      <c r="Q245" s="16"/>
      <c r="R245" s="16"/>
      <c r="S245" s="87"/>
      <c r="T245" s="18"/>
      <c r="V245" s="88" t="n">
        <v>10266900</v>
      </c>
    </row>
    <row r="246" customFormat="false" ht="30" hidden="false" customHeight="true" outlineLevel="1" collapsed="false">
      <c r="A246" s="70" t="n">
        <v>511123</v>
      </c>
      <c r="B246" s="71" t="s">
        <v>228</v>
      </c>
      <c r="C246" s="70"/>
      <c r="D246" s="70"/>
      <c r="E246" s="72"/>
      <c r="F246" s="73" t="n">
        <f aca="false">SUM(F248:F248)</f>
        <v>7600000</v>
      </c>
      <c r="G246" s="74"/>
      <c r="H246" s="75"/>
      <c r="I246" s="70" t="n">
        <v>511123</v>
      </c>
      <c r="J246" s="71" t="s">
        <v>228</v>
      </c>
      <c r="K246" s="70"/>
      <c r="L246" s="70"/>
      <c r="M246" s="72"/>
      <c r="N246" s="73" t="n">
        <f aca="false">SUM(N248:N248)</f>
        <v>11340000</v>
      </c>
      <c r="O246" s="76"/>
      <c r="P246" s="18"/>
      <c r="Q246" s="18"/>
      <c r="R246" s="18"/>
      <c r="S246" s="17"/>
      <c r="T246" s="18"/>
      <c r="V246" s="27" t="n">
        <v>-140000</v>
      </c>
    </row>
    <row r="247" customFormat="false" ht="30" hidden="false" customHeight="true" outlineLevel="1" collapsed="false">
      <c r="A247" s="70"/>
      <c r="B247" s="77" t="s">
        <v>32</v>
      </c>
      <c r="C247" s="70"/>
      <c r="D247" s="70"/>
      <c r="E247" s="72"/>
      <c r="F247" s="73"/>
      <c r="G247" s="74"/>
      <c r="H247" s="75"/>
      <c r="I247" s="70"/>
      <c r="J247" s="77" t="s">
        <v>32</v>
      </c>
      <c r="K247" s="70"/>
      <c r="L247" s="70"/>
      <c r="M247" s="72"/>
      <c r="N247" s="73"/>
      <c r="O247" s="78"/>
      <c r="P247" s="18"/>
      <c r="Q247" s="18"/>
      <c r="R247" s="18"/>
      <c r="S247" s="17"/>
      <c r="T247" s="18"/>
    </row>
    <row r="248" customFormat="false" ht="30" hidden="false" customHeight="true" outlineLevel="1" collapsed="false">
      <c r="A248" s="79"/>
      <c r="B248" s="80" t="s">
        <v>229</v>
      </c>
      <c r="C248" s="79" t="n">
        <v>1</v>
      </c>
      <c r="D248" s="79" t="s">
        <v>34</v>
      </c>
      <c r="E248" s="100" t="n">
        <v>7600000</v>
      </c>
      <c r="F248" s="81" t="n">
        <f aca="false">C248*E248</f>
        <v>7600000</v>
      </c>
      <c r="G248" s="82"/>
      <c r="H248" s="83"/>
      <c r="I248" s="79"/>
      <c r="J248" s="80" t="s">
        <v>229</v>
      </c>
      <c r="K248" s="79" t="n">
        <v>1</v>
      </c>
      <c r="L248" s="79" t="s">
        <v>34</v>
      </c>
      <c r="M248" s="100" t="n">
        <v>11340000</v>
      </c>
      <c r="N248" s="81" t="n">
        <f aca="false">K248*M248</f>
        <v>11340000</v>
      </c>
      <c r="O248" s="84"/>
      <c r="P248" s="105"/>
      <c r="Q248" s="105"/>
      <c r="R248" s="188" t="n">
        <f aca="false">F248-N248</f>
        <v>-3740000</v>
      </c>
      <c r="S248" s="87"/>
      <c r="T248" s="52" t="n">
        <f aca="false">N248-F248</f>
        <v>3740000</v>
      </c>
      <c r="V248" s="88" t="n">
        <v>-140000</v>
      </c>
    </row>
    <row r="249" customFormat="false" ht="30" hidden="false" customHeight="true" outlineLevel="1" collapsed="false">
      <c r="A249" s="70" t="n">
        <v>511124</v>
      </c>
      <c r="B249" s="71" t="s">
        <v>230</v>
      </c>
      <c r="C249" s="70"/>
      <c r="D249" s="70"/>
      <c r="E249" s="72"/>
      <c r="F249" s="73" t="n">
        <f aca="false">SUM(F251:F251)</f>
        <v>120000000</v>
      </c>
      <c r="G249" s="74"/>
      <c r="H249" s="75"/>
      <c r="I249" s="70" t="n">
        <v>511124</v>
      </c>
      <c r="J249" s="71" t="s">
        <v>230</v>
      </c>
      <c r="K249" s="70"/>
      <c r="L249" s="70"/>
      <c r="M249" s="72"/>
      <c r="N249" s="73" t="n">
        <f aca="false">SUM(N251:N251)</f>
        <v>120000000</v>
      </c>
      <c r="O249" s="76"/>
      <c r="P249" s="18"/>
      <c r="Q249" s="18"/>
      <c r="R249" s="18"/>
      <c r="S249" s="17"/>
      <c r="T249" s="18"/>
      <c r="V249" s="27" t="n">
        <v>19514000</v>
      </c>
    </row>
    <row r="250" customFormat="false" ht="30" hidden="false" customHeight="true" outlineLevel="1" collapsed="false">
      <c r="A250" s="70"/>
      <c r="B250" s="77" t="s">
        <v>32</v>
      </c>
      <c r="C250" s="70"/>
      <c r="D250" s="70"/>
      <c r="E250" s="72"/>
      <c r="F250" s="73"/>
      <c r="G250" s="74"/>
      <c r="H250" s="75"/>
      <c r="I250" s="70"/>
      <c r="J250" s="77" t="s">
        <v>32</v>
      </c>
      <c r="K250" s="70"/>
      <c r="L250" s="70"/>
      <c r="M250" s="72"/>
      <c r="N250" s="73"/>
      <c r="O250" s="78"/>
      <c r="P250" s="18"/>
      <c r="Q250" s="18"/>
      <c r="R250" s="18"/>
      <c r="S250" s="17"/>
      <c r="T250" s="18"/>
    </row>
    <row r="251" customFormat="false" ht="30" hidden="false" customHeight="true" outlineLevel="1" collapsed="false">
      <c r="A251" s="70"/>
      <c r="B251" s="77" t="s">
        <v>231</v>
      </c>
      <c r="C251" s="70" t="n">
        <v>1</v>
      </c>
      <c r="D251" s="70" t="s">
        <v>34</v>
      </c>
      <c r="E251" s="72" t="n">
        <v>120000000</v>
      </c>
      <c r="F251" s="73" t="n">
        <f aca="false">C251*E251</f>
        <v>120000000</v>
      </c>
      <c r="G251" s="98"/>
      <c r="H251" s="99"/>
      <c r="I251" s="70"/>
      <c r="J251" s="77" t="s">
        <v>231</v>
      </c>
      <c r="K251" s="70" t="n">
        <v>1</v>
      </c>
      <c r="L251" s="70" t="s">
        <v>34</v>
      </c>
      <c r="M251" s="72" t="n">
        <v>120000000</v>
      </c>
      <c r="N251" s="73" t="n">
        <f aca="false">K251*M251</f>
        <v>120000000</v>
      </c>
      <c r="O251" s="97"/>
      <c r="P251" s="16"/>
      <c r="Q251" s="16"/>
      <c r="R251" s="16"/>
      <c r="S251" s="87"/>
      <c r="T251" s="18"/>
      <c r="V251" s="88" t="n">
        <v>19514000</v>
      </c>
    </row>
    <row r="252" customFormat="false" ht="30" hidden="false" customHeight="true" outlineLevel="1" collapsed="false">
      <c r="A252" s="70" t="n">
        <v>511125</v>
      </c>
      <c r="B252" s="71" t="s">
        <v>232</v>
      </c>
      <c r="C252" s="70"/>
      <c r="D252" s="70"/>
      <c r="E252" s="72"/>
      <c r="F252" s="73" t="n">
        <f aca="false">SUM(F254:F254)</f>
        <v>15000000</v>
      </c>
      <c r="G252" s="74"/>
      <c r="H252" s="75"/>
      <c r="I252" s="70" t="n">
        <v>511125</v>
      </c>
      <c r="J252" s="71" t="s">
        <v>232</v>
      </c>
      <c r="K252" s="70"/>
      <c r="L252" s="70"/>
      <c r="M252" s="72"/>
      <c r="N252" s="73" t="n">
        <f aca="false">SUM(N254:N254)</f>
        <v>15000000</v>
      </c>
      <c r="O252" s="76"/>
      <c r="P252" s="18"/>
      <c r="Q252" s="18"/>
      <c r="R252" s="18"/>
      <c r="S252" s="17"/>
      <c r="T252" s="18"/>
      <c r="V252" s="27" t="n">
        <v>2191662</v>
      </c>
    </row>
    <row r="253" customFormat="false" ht="30" hidden="false" customHeight="true" outlineLevel="1" collapsed="false">
      <c r="A253" s="70"/>
      <c r="B253" s="77" t="s">
        <v>32</v>
      </c>
      <c r="C253" s="70"/>
      <c r="D253" s="70"/>
      <c r="E253" s="72"/>
      <c r="F253" s="73"/>
      <c r="G253" s="74"/>
      <c r="H253" s="75"/>
      <c r="I253" s="70"/>
      <c r="J253" s="77" t="s">
        <v>32</v>
      </c>
      <c r="K253" s="70"/>
      <c r="L253" s="70"/>
      <c r="M253" s="72"/>
      <c r="N253" s="73"/>
      <c r="O253" s="78"/>
      <c r="P253" s="18"/>
      <c r="Q253" s="18"/>
      <c r="R253" s="18"/>
      <c r="S253" s="17"/>
      <c r="T253" s="18"/>
    </row>
    <row r="254" customFormat="false" ht="30" hidden="false" customHeight="true" outlineLevel="1" collapsed="false">
      <c r="A254" s="70"/>
      <c r="B254" s="77" t="s">
        <v>233</v>
      </c>
      <c r="C254" s="70" t="n">
        <v>1</v>
      </c>
      <c r="D254" s="70" t="s">
        <v>34</v>
      </c>
      <c r="E254" s="72" t="n">
        <v>15000000</v>
      </c>
      <c r="F254" s="73" t="n">
        <f aca="false">C254*E254</f>
        <v>15000000</v>
      </c>
      <c r="G254" s="98"/>
      <c r="H254" s="99"/>
      <c r="I254" s="70"/>
      <c r="J254" s="77" t="s">
        <v>233</v>
      </c>
      <c r="K254" s="70" t="n">
        <v>1</v>
      </c>
      <c r="L254" s="70" t="s">
        <v>34</v>
      </c>
      <c r="M254" s="72" t="n">
        <v>15000000</v>
      </c>
      <c r="N254" s="73" t="n">
        <f aca="false">K254*M254</f>
        <v>15000000</v>
      </c>
      <c r="O254" s="97"/>
      <c r="P254" s="16"/>
      <c r="Q254" s="16"/>
      <c r="R254" s="16"/>
      <c r="S254" s="87"/>
      <c r="T254" s="18"/>
      <c r="V254" s="88" t="n">
        <v>2191662</v>
      </c>
    </row>
    <row r="255" customFormat="false" ht="30" hidden="false" customHeight="true" outlineLevel="1" collapsed="false">
      <c r="A255" s="70" t="n">
        <v>511126</v>
      </c>
      <c r="B255" s="71" t="s">
        <v>234</v>
      </c>
      <c r="C255" s="70"/>
      <c r="D255" s="70"/>
      <c r="E255" s="72"/>
      <c r="F255" s="73" t="n">
        <f aca="false">SUM(F257:F257)</f>
        <v>119500000</v>
      </c>
      <c r="G255" s="74"/>
      <c r="H255" s="75"/>
      <c r="I255" s="70" t="n">
        <v>511126</v>
      </c>
      <c r="J255" s="71" t="s">
        <v>234</v>
      </c>
      <c r="K255" s="70"/>
      <c r="L255" s="70"/>
      <c r="M255" s="72"/>
      <c r="N255" s="73" t="n">
        <f aca="false">SUM(N257:N257)</f>
        <v>119500000</v>
      </c>
      <c r="O255" s="76"/>
      <c r="P255" s="18"/>
      <c r="Q255" s="18"/>
      <c r="R255" s="18"/>
      <c r="S255" s="17"/>
      <c r="T255" s="18"/>
      <c r="V255" s="27" t="n">
        <v>17967160</v>
      </c>
    </row>
    <row r="256" customFormat="false" ht="30" hidden="false" customHeight="true" outlineLevel="1" collapsed="false">
      <c r="A256" s="70"/>
      <c r="B256" s="77" t="s">
        <v>32</v>
      </c>
      <c r="C256" s="70"/>
      <c r="D256" s="70"/>
      <c r="E256" s="72"/>
      <c r="F256" s="73"/>
      <c r="G256" s="74"/>
      <c r="H256" s="75"/>
      <c r="I256" s="70"/>
      <c r="J256" s="77" t="s">
        <v>32</v>
      </c>
      <c r="K256" s="70"/>
      <c r="L256" s="70"/>
      <c r="M256" s="72"/>
      <c r="N256" s="73"/>
      <c r="O256" s="78"/>
      <c r="P256" s="18"/>
      <c r="Q256" s="18"/>
      <c r="R256" s="18"/>
      <c r="S256" s="17"/>
      <c r="T256" s="18"/>
    </row>
    <row r="257" customFormat="false" ht="30" hidden="false" customHeight="true" outlineLevel="1" collapsed="false">
      <c r="A257" s="70"/>
      <c r="B257" s="77" t="s">
        <v>235</v>
      </c>
      <c r="C257" s="70" t="n">
        <v>1</v>
      </c>
      <c r="D257" s="70" t="s">
        <v>34</v>
      </c>
      <c r="E257" s="72" t="n">
        <v>119500000</v>
      </c>
      <c r="F257" s="73" t="n">
        <f aca="false">C257*E257</f>
        <v>119500000</v>
      </c>
      <c r="G257" s="98"/>
      <c r="H257" s="99"/>
      <c r="I257" s="70"/>
      <c r="J257" s="77" t="s">
        <v>235</v>
      </c>
      <c r="K257" s="70" t="n">
        <v>1</v>
      </c>
      <c r="L257" s="70" t="s">
        <v>34</v>
      </c>
      <c r="M257" s="72" t="n">
        <v>119500000</v>
      </c>
      <c r="N257" s="73" t="n">
        <f aca="false">K257*M257</f>
        <v>119500000</v>
      </c>
      <c r="O257" s="97"/>
      <c r="P257" s="16"/>
      <c r="Q257" s="16"/>
      <c r="R257" s="16"/>
      <c r="S257" s="87"/>
      <c r="T257" s="18"/>
      <c r="V257" s="88" t="n">
        <v>17967160</v>
      </c>
    </row>
    <row r="258" customFormat="false" ht="30" hidden="false" customHeight="true" outlineLevel="1" collapsed="false">
      <c r="A258" s="70" t="n">
        <v>511129</v>
      </c>
      <c r="B258" s="71" t="s">
        <v>236</v>
      </c>
      <c r="C258" s="70"/>
      <c r="D258" s="70"/>
      <c r="E258" s="72"/>
      <c r="F258" s="73" t="n">
        <f aca="false">SUM(F260:F260)</f>
        <v>310000000</v>
      </c>
      <c r="G258" s="74"/>
      <c r="H258" s="75"/>
      <c r="I258" s="70" t="n">
        <v>511129</v>
      </c>
      <c r="J258" s="71" t="s">
        <v>236</v>
      </c>
      <c r="K258" s="70"/>
      <c r="L258" s="70"/>
      <c r="M258" s="72"/>
      <c r="N258" s="73" t="n">
        <f aca="false">SUM(N260:N260)</f>
        <v>281260000</v>
      </c>
      <c r="O258" s="76"/>
      <c r="P258" s="18"/>
      <c r="Q258" s="18"/>
      <c r="R258" s="18"/>
      <c r="S258" s="17"/>
      <c r="T258" s="18"/>
      <c r="V258" s="27" t="n">
        <v>128707000</v>
      </c>
    </row>
    <row r="259" customFormat="false" ht="30" hidden="false" customHeight="true" outlineLevel="1" collapsed="false">
      <c r="A259" s="70"/>
      <c r="B259" s="77" t="s">
        <v>32</v>
      </c>
      <c r="C259" s="70"/>
      <c r="D259" s="70"/>
      <c r="E259" s="72"/>
      <c r="F259" s="73"/>
      <c r="G259" s="74"/>
      <c r="H259" s="75"/>
      <c r="I259" s="70"/>
      <c r="J259" s="77" t="s">
        <v>32</v>
      </c>
      <c r="K259" s="70"/>
      <c r="L259" s="70"/>
      <c r="M259" s="72"/>
      <c r="N259" s="73"/>
      <c r="O259" s="78"/>
      <c r="P259" s="18"/>
      <c r="Q259" s="18"/>
      <c r="R259" s="18"/>
      <c r="S259" s="17"/>
      <c r="T259" s="18"/>
    </row>
    <row r="260" customFormat="false" ht="30" hidden="false" customHeight="true" outlineLevel="1" collapsed="false">
      <c r="A260" s="79"/>
      <c r="B260" s="80" t="s">
        <v>237</v>
      </c>
      <c r="C260" s="79" t="n">
        <v>1</v>
      </c>
      <c r="D260" s="79" t="s">
        <v>34</v>
      </c>
      <c r="E260" s="100" t="n">
        <v>310000000</v>
      </c>
      <c r="F260" s="81" t="n">
        <f aca="false">C260*E260</f>
        <v>310000000</v>
      </c>
      <c r="G260" s="82"/>
      <c r="H260" s="83"/>
      <c r="I260" s="79"/>
      <c r="J260" s="80" t="s">
        <v>237</v>
      </c>
      <c r="K260" s="79" t="n">
        <v>1</v>
      </c>
      <c r="L260" s="79" t="s">
        <v>34</v>
      </c>
      <c r="M260" s="100" t="n">
        <v>281260000</v>
      </c>
      <c r="N260" s="81" t="n">
        <f aca="false">K260*M260</f>
        <v>281260000</v>
      </c>
      <c r="O260" s="84"/>
      <c r="P260" s="105"/>
      <c r="Q260" s="105"/>
      <c r="R260" s="188" t="n">
        <f aca="false">F260-N260</f>
        <v>28740000</v>
      </c>
      <c r="S260" s="87"/>
      <c r="T260" s="52" t="n">
        <f aca="false">N260-F260</f>
        <v>-28740000</v>
      </c>
      <c r="V260" s="88" t="n">
        <v>128707000</v>
      </c>
    </row>
    <row r="261" customFormat="false" ht="30" hidden="false" customHeight="true" outlineLevel="1" collapsed="false">
      <c r="A261" s="70" t="n">
        <v>511151</v>
      </c>
      <c r="B261" s="71" t="s">
        <v>238</v>
      </c>
      <c r="C261" s="70"/>
      <c r="D261" s="70"/>
      <c r="E261" s="72"/>
      <c r="F261" s="73" t="n">
        <f aca="false">SUM(F263:F263)</f>
        <v>46000000</v>
      </c>
      <c r="G261" s="74"/>
      <c r="H261" s="75"/>
      <c r="I261" s="70" t="n">
        <v>511151</v>
      </c>
      <c r="J261" s="71" t="s">
        <v>238</v>
      </c>
      <c r="K261" s="70"/>
      <c r="L261" s="70"/>
      <c r="M261" s="72"/>
      <c r="N261" s="73" t="n">
        <f aca="false">SUM(N263:N263)</f>
        <v>46000000</v>
      </c>
      <c r="O261" s="76"/>
      <c r="P261" s="18"/>
      <c r="Q261" s="18"/>
      <c r="R261" s="18"/>
      <c r="S261" s="17"/>
      <c r="T261" s="18"/>
      <c r="V261" s="27" t="n">
        <v>5720000</v>
      </c>
    </row>
    <row r="262" customFormat="false" ht="30" hidden="false" customHeight="true" outlineLevel="1" collapsed="false">
      <c r="A262" s="70"/>
      <c r="B262" s="77" t="s">
        <v>32</v>
      </c>
      <c r="C262" s="70"/>
      <c r="D262" s="70"/>
      <c r="E262" s="72"/>
      <c r="F262" s="73"/>
      <c r="G262" s="74"/>
      <c r="H262" s="75"/>
      <c r="I262" s="70"/>
      <c r="J262" s="77" t="s">
        <v>32</v>
      </c>
      <c r="K262" s="70"/>
      <c r="L262" s="70"/>
      <c r="M262" s="72"/>
      <c r="N262" s="73"/>
      <c r="O262" s="78"/>
      <c r="P262" s="18"/>
      <c r="Q262" s="18"/>
      <c r="R262" s="18"/>
      <c r="S262" s="17"/>
      <c r="T262" s="18"/>
    </row>
    <row r="263" customFormat="false" ht="30" hidden="false" customHeight="true" outlineLevel="1" collapsed="false">
      <c r="A263" s="70"/>
      <c r="B263" s="77" t="s">
        <v>239</v>
      </c>
      <c r="C263" s="70" t="n">
        <v>1</v>
      </c>
      <c r="D263" s="70" t="s">
        <v>34</v>
      </c>
      <c r="E263" s="72" t="n">
        <v>46000000</v>
      </c>
      <c r="F263" s="73" t="n">
        <f aca="false">C263*E263</f>
        <v>46000000</v>
      </c>
      <c r="G263" s="98"/>
      <c r="H263" s="99"/>
      <c r="I263" s="70"/>
      <c r="J263" s="77" t="s">
        <v>239</v>
      </c>
      <c r="K263" s="70" t="n">
        <v>1</v>
      </c>
      <c r="L263" s="70" t="s">
        <v>34</v>
      </c>
      <c r="M263" s="72" t="n">
        <v>46000000</v>
      </c>
      <c r="N263" s="73" t="n">
        <f aca="false">K263*M263</f>
        <v>46000000</v>
      </c>
      <c r="O263" s="97"/>
      <c r="P263" s="16"/>
      <c r="Q263" s="16"/>
      <c r="R263" s="16"/>
      <c r="S263" s="87"/>
      <c r="T263" s="18"/>
      <c r="V263" s="88" t="n">
        <v>5720000</v>
      </c>
    </row>
    <row r="264" customFormat="false" ht="30" hidden="false" customHeight="true" outlineLevel="1" collapsed="false">
      <c r="A264" s="70" t="n">
        <v>512211</v>
      </c>
      <c r="B264" s="71" t="s">
        <v>240</v>
      </c>
      <c r="C264" s="70"/>
      <c r="D264" s="70"/>
      <c r="E264" s="72"/>
      <c r="F264" s="73" t="n">
        <f aca="false">SUM(F266:F266)</f>
        <v>90000000</v>
      </c>
      <c r="G264" s="74"/>
      <c r="H264" s="75"/>
      <c r="I264" s="70" t="n">
        <v>512211</v>
      </c>
      <c r="J264" s="71" t="s">
        <v>240</v>
      </c>
      <c r="K264" s="70"/>
      <c r="L264" s="70"/>
      <c r="M264" s="72"/>
      <c r="N264" s="73" t="n">
        <f aca="false">SUM(N266:N266)</f>
        <v>90000000</v>
      </c>
      <c r="O264" s="76"/>
      <c r="P264" s="18"/>
      <c r="Q264" s="18"/>
      <c r="R264" s="18"/>
      <c r="S264" s="17"/>
      <c r="T264" s="18"/>
      <c r="V264" s="27" t="n">
        <v>43675000</v>
      </c>
    </row>
    <row r="265" customFormat="false" ht="30" hidden="false" customHeight="true" outlineLevel="1" collapsed="false">
      <c r="A265" s="70"/>
      <c r="B265" s="77" t="s">
        <v>32</v>
      </c>
      <c r="C265" s="70"/>
      <c r="D265" s="70"/>
      <c r="E265" s="72"/>
      <c r="F265" s="73"/>
      <c r="G265" s="74"/>
      <c r="H265" s="75"/>
      <c r="I265" s="70"/>
      <c r="J265" s="77" t="s">
        <v>32</v>
      </c>
      <c r="K265" s="70"/>
      <c r="L265" s="70"/>
      <c r="M265" s="72"/>
      <c r="N265" s="73"/>
      <c r="O265" s="78"/>
      <c r="P265" s="18"/>
      <c r="Q265" s="18"/>
      <c r="R265" s="18"/>
      <c r="S265" s="17"/>
      <c r="T265" s="18"/>
    </row>
    <row r="266" customFormat="false" ht="30" hidden="false" customHeight="true" outlineLevel="1" collapsed="false">
      <c r="A266" s="70"/>
      <c r="B266" s="77" t="s">
        <v>241</v>
      </c>
      <c r="C266" s="70" t="n">
        <v>1</v>
      </c>
      <c r="D266" s="70" t="s">
        <v>34</v>
      </c>
      <c r="E266" s="72" t="n">
        <v>90000000</v>
      </c>
      <c r="F266" s="73" t="n">
        <f aca="false">C266*E266</f>
        <v>90000000</v>
      </c>
      <c r="G266" s="98"/>
      <c r="H266" s="99"/>
      <c r="I266" s="70"/>
      <c r="J266" s="77" t="s">
        <v>241</v>
      </c>
      <c r="K266" s="70" t="n">
        <v>1</v>
      </c>
      <c r="L266" s="70" t="s">
        <v>34</v>
      </c>
      <c r="M266" s="72" t="n">
        <v>90000000</v>
      </c>
      <c r="N266" s="73" t="n">
        <f aca="false">K266*M266</f>
        <v>90000000</v>
      </c>
      <c r="O266" s="97"/>
      <c r="P266" s="16"/>
      <c r="Q266" s="16"/>
      <c r="R266" s="16"/>
      <c r="S266" s="87"/>
      <c r="T266" s="18"/>
      <c r="V266" s="88" t="n">
        <v>43675000</v>
      </c>
    </row>
    <row r="267" customFormat="false" ht="30" hidden="false" customHeight="true" outlineLevel="1" collapsed="false">
      <c r="A267" s="70" t="n">
        <v>512411</v>
      </c>
      <c r="B267" s="71" t="s">
        <v>242</v>
      </c>
      <c r="C267" s="70"/>
      <c r="D267" s="70"/>
      <c r="E267" s="72"/>
      <c r="F267" s="73" t="n">
        <f aca="false">SUM(F269:F269)</f>
        <v>2895000000</v>
      </c>
      <c r="G267" s="74"/>
      <c r="H267" s="75"/>
      <c r="I267" s="70" t="n">
        <v>512411</v>
      </c>
      <c r="J267" s="71" t="s">
        <v>242</v>
      </c>
      <c r="K267" s="70"/>
      <c r="L267" s="70"/>
      <c r="M267" s="72"/>
      <c r="N267" s="73" t="n">
        <f aca="false">SUM(N269:N269)</f>
        <v>2895000000</v>
      </c>
      <c r="O267" s="76"/>
      <c r="P267" s="18"/>
      <c r="Q267" s="18"/>
      <c r="R267" s="18"/>
      <c r="S267" s="17"/>
      <c r="T267" s="18"/>
      <c r="V267" s="27" t="n">
        <v>667064659</v>
      </c>
    </row>
    <row r="268" customFormat="false" ht="30" hidden="false" customHeight="true" outlineLevel="1" collapsed="false">
      <c r="A268" s="70"/>
      <c r="B268" s="77" t="s">
        <v>32</v>
      </c>
      <c r="C268" s="70"/>
      <c r="D268" s="70"/>
      <c r="E268" s="72"/>
      <c r="F268" s="73"/>
      <c r="G268" s="74"/>
      <c r="H268" s="75"/>
      <c r="I268" s="70"/>
      <c r="J268" s="77" t="s">
        <v>32</v>
      </c>
      <c r="K268" s="70"/>
      <c r="L268" s="70"/>
      <c r="M268" s="72"/>
      <c r="N268" s="73"/>
      <c r="O268" s="78"/>
      <c r="P268" s="18"/>
      <c r="Q268" s="18"/>
      <c r="R268" s="18"/>
      <c r="S268" s="17"/>
      <c r="T268" s="18"/>
    </row>
    <row r="269" customFormat="false" ht="30" hidden="false" customHeight="true" outlineLevel="1" collapsed="false">
      <c r="A269" s="70"/>
      <c r="B269" s="77" t="s">
        <v>243</v>
      </c>
      <c r="C269" s="70" t="n">
        <v>1</v>
      </c>
      <c r="D269" s="70" t="s">
        <v>34</v>
      </c>
      <c r="E269" s="72" t="n">
        <v>2895000000</v>
      </c>
      <c r="F269" s="73" t="n">
        <f aca="false">C269*E269</f>
        <v>2895000000</v>
      </c>
      <c r="G269" s="98"/>
      <c r="H269" s="99"/>
      <c r="I269" s="70"/>
      <c r="J269" s="77" t="s">
        <v>243</v>
      </c>
      <c r="K269" s="70" t="n">
        <v>1</v>
      </c>
      <c r="L269" s="70" t="s">
        <v>34</v>
      </c>
      <c r="M269" s="72" t="n">
        <v>2895000000</v>
      </c>
      <c r="N269" s="73" t="n">
        <f aca="false">K269*M269</f>
        <v>2895000000</v>
      </c>
      <c r="O269" s="97"/>
      <c r="P269" s="16"/>
      <c r="Q269" s="16"/>
      <c r="R269" s="16"/>
      <c r="S269" s="87"/>
      <c r="T269" s="18"/>
      <c r="V269" s="88" t="n">
        <v>667064659</v>
      </c>
    </row>
    <row r="270" customFormat="false" ht="21" hidden="false" customHeight="true" outlineLevel="0" collapsed="false">
      <c r="A270" s="62" t="s">
        <v>61</v>
      </c>
      <c r="B270" s="63" t="s">
        <v>244</v>
      </c>
      <c r="C270" s="64"/>
      <c r="D270" s="64"/>
      <c r="E270" s="65"/>
      <c r="F270" s="66" t="n">
        <f aca="false">SUM(F271,F274,F277,F280,F283,F286,F289,F292,F295,F298)</f>
        <v>2704750000</v>
      </c>
      <c r="G270" s="67"/>
      <c r="H270" s="48"/>
      <c r="I270" s="62" t="s">
        <v>61</v>
      </c>
      <c r="J270" s="63" t="s">
        <v>244</v>
      </c>
      <c r="K270" s="64"/>
      <c r="L270" s="64"/>
      <c r="M270" s="65"/>
      <c r="N270" s="66" t="n">
        <f aca="false">SUM(N271,N274,N277,N280,N283,N286,N289,N292,N295,N298)</f>
        <v>2729750000</v>
      </c>
      <c r="O270" s="68"/>
      <c r="P270" s="69"/>
      <c r="Q270" s="69"/>
      <c r="R270" s="69"/>
      <c r="S270" s="17"/>
      <c r="T270" s="128" t="n">
        <f aca="false">N270-F270</f>
        <v>25000000</v>
      </c>
      <c r="V270" s="27" t="n">
        <v>591030496</v>
      </c>
    </row>
    <row r="271" customFormat="false" ht="30" hidden="false" customHeight="true" outlineLevel="1" collapsed="false">
      <c r="A271" s="70" t="n">
        <v>511611</v>
      </c>
      <c r="B271" s="71" t="s">
        <v>245</v>
      </c>
      <c r="C271" s="70"/>
      <c r="D271" s="70"/>
      <c r="E271" s="72"/>
      <c r="F271" s="73" t="n">
        <f aca="false">SUM(F273:F273)</f>
        <v>953500000</v>
      </c>
      <c r="G271" s="74"/>
      <c r="H271" s="75"/>
      <c r="I271" s="70" t="n">
        <v>511611</v>
      </c>
      <c r="J271" s="71" t="s">
        <v>245</v>
      </c>
      <c r="K271" s="70"/>
      <c r="L271" s="70"/>
      <c r="M271" s="72"/>
      <c r="N271" s="73" t="n">
        <f aca="false">SUM(N273:N273)</f>
        <v>953500000</v>
      </c>
      <c r="O271" s="76"/>
      <c r="P271" s="18"/>
      <c r="Q271" s="18"/>
      <c r="R271" s="18"/>
      <c r="S271" s="17"/>
      <c r="T271" s="18"/>
      <c r="V271" s="27" t="n">
        <v>166839909</v>
      </c>
    </row>
    <row r="272" customFormat="false" ht="30" hidden="false" customHeight="true" outlineLevel="1" collapsed="false">
      <c r="A272" s="70"/>
      <c r="B272" s="77" t="s">
        <v>32</v>
      </c>
      <c r="C272" s="70"/>
      <c r="D272" s="70"/>
      <c r="E272" s="72"/>
      <c r="F272" s="73"/>
      <c r="G272" s="74"/>
      <c r="H272" s="75"/>
      <c r="I272" s="70"/>
      <c r="J272" s="77" t="s">
        <v>32</v>
      </c>
      <c r="K272" s="70"/>
      <c r="L272" s="70"/>
      <c r="M272" s="72"/>
      <c r="N272" s="73"/>
      <c r="O272" s="78"/>
      <c r="P272" s="18"/>
      <c r="Q272" s="18"/>
      <c r="R272" s="18"/>
      <c r="S272" s="17"/>
      <c r="T272" s="18"/>
    </row>
    <row r="273" customFormat="false" ht="30" hidden="false" customHeight="true" outlineLevel="1" collapsed="false">
      <c r="A273" s="70"/>
      <c r="B273" s="77" t="s">
        <v>246</v>
      </c>
      <c r="C273" s="70" t="n">
        <v>1</v>
      </c>
      <c r="D273" s="70" t="s">
        <v>34</v>
      </c>
      <c r="E273" s="72" t="n">
        <v>953500000</v>
      </c>
      <c r="F273" s="73" t="n">
        <f aca="false">C273*E273</f>
        <v>953500000</v>
      </c>
      <c r="G273" s="98"/>
      <c r="H273" s="99"/>
      <c r="I273" s="70"/>
      <c r="J273" s="77" t="s">
        <v>246</v>
      </c>
      <c r="K273" s="70" t="n">
        <v>1</v>
      </c>
      <c r="L273" s="70" t="s">
        <v>34</v>
      </c>
      <c r="M273" s="72" t="n">
        <v>953500000</v>
      </c>
      <c r="N273" s="73" t="n">
        <f aca="false">K273*M273</f>
        <v>953500000</v>
      </c>
      <c r="O273" s="97"/>
      <c r="P273" s="16"/>
      <c r="Q273" s="16"/>
      <c r="R273" s="16"/>
      <c r="S273" s="87"/>
      <c r="T273" s="18"/>
      <c r="V273" s="88" t="n">
        <v>166839909</v>
      </c>
    </row>
    <row r="274" customFormat="false" ht="30" hidden="false" customHeight="true" outlineLevel="1" collapsed="false">
      <c r="A274" s="70" t="n">
        <v>511619</v>
      </c>
      <c r="B274" s="71" t="s">
        <v>247</v>
      </c>
      <c r="C274" s="70"/>
      <c r="D274" s="70"/>
      <c r="E274" s="72"/>
      <c r="F274" s="73" t="n">
        <f aca="false">SUM(F276:F276)</f>
        <v>50000</v>
      </c>
      <c r="G274" s="74"/>
      <c r="H274" s="75"/>
      <c r="I274" s="70" t="n">
        <v>511619</v>
      </c>
      <c r="J274" s="71" t="s">
        <v>247</v>
      </c>
      <c r="K274" s="70"/>
      <c r="L274" s="70"/>
      <c r="M274" s="72"/>
      <c r="N274" s="73" t="n">
        <f aca="false">SUM(N276:N276)</f>
        <v>50000</v>
      </c>
      <c r="O274" s="76"/>
      <c r="P274" s="18"/>
      <c r="Q274" s="18"/>
      <c r="R274" s="18"/>
      <c r="S274" s="17"/>
      <c r="T274" s="18"/>
      <c r="V274" s="27" t="n">
        <v>31038</v>
      </c>
    </row>
    <row r="275" customFormat="false" ht="30" hidden="false" customHeight="true" outlineLevel="1" collapsed="false">
      <c r="A275" s="70"/>
      <c r="B275" s="77" t="s">
        <v>32</v>
      </c>
      <c r="C275" s="70"/>
      <c r="D275" s="70"/>
      <c r="E275" s="72"/>
      <c r="F275" s="73"/>
      <c r="G275" s="74"/>
      <c r="H275" s="75"/>
      <c r="I275" s="70"/>
      <c r="J275" s="77" t="s">
        <v>32</v>
      </c>
      <c r="K275" s="70"/>
      <c r="L275" s="70"/>
      <c r="M275" s="72"/>
      <c r="N275" s="73"/>
      <c r="O275" s="78"/>
      <c r="P275" s="18"/>
      <c r="Q275" s="18"/>
      <c r="R275" s="18"/>
      <c r="S275" s="17"/>
      <c r="T275" s="18"/>
    </row>
    <row r="276" customFormat="false" ht="30" hidden="false" customHeight="true" outlineLevel="1" collapsed="false">
      <c r="A276" s="70"/>
      <c r="B276" s="77" t="s">
        <v>248</v>
      </c>
      <c r="C276" s="70" t="n">
        <v>1</v>
      </c>
      <c r="D276" s="70" t="s">
        <v>34</v>
      </c>
      <c r="E276" s="72" t="n">
        <v>50000</v>
      </c>
      <c r="F276" s="73" t="n">
        <f aca="false">C276*E276</f>
        <v>50000</v>
      </c>
      <c r="G276" s="98"/>
      <c r="H276" s="99"/>
      <c r="I276" s="70"/>
      <c r="J276" s="77" t="s">
        <v>248</v>
      </c>
      <c r="K276" s="70" t="n">
        <v>1</v>
      </c>
      <c r="L276" s="70" t="s">
        <v>34</v>
      </c>
      <c r="M276" s="72" t="n">
        <v>50000</v>
      </c>
      <c r="N276" s="73" t="n">
        <f aca="false">K276*M276</f>
        <v>50000</v>
      </c>
      <c r="O276" s="97"/>
      <c r="P276" s="16"/>
      <c r="Q276" s="16"/>
      <c r="R276" s="16"/>
      <c r="S276" s="87"/>
      <c r="T276" s="18"/>
      <c r="V276" s="88" t="n">
        <v>31038</v>
      </c>
    </row>
    <row r="277" customFormat="false" ht="30" hidden="false" customHeight="true" outlineLevel="1" collapsed="false">
      <c r="A277" s="70" t="n">
        <v>511621</v>
      </c>
      <c r="B277" s="71" t="s">
        <v>249</v>
      </c>
      <c r="C277" s="70"/>
      <c r="D277" s="70"/>
      <c r="E277" s="72"/>
      <c r="F277" s="73" t="n">
        <f aca="false">SUM(F279:F279)</f>
        <v>70600000</v>
      </c>
      <c r="G277" s="74"/>
      <c r="H277" s="75"/>
      <c r="I277" s="70" t="n">
        <v>511621</v>
      </c>
      <c r="J277" s="71" t="s">
        <v>249</v>
      </c>
      <c r="K277" s="70"/>
      <c r="L277" s="70"/>
      <c r="M277" s="72"/>
      <c r="N277" s="73" t="n">
        <f aca="false">SUM(N279:N279)</f>
        <v>70600000</v>
      </c>
      <c r="O277" s="76"/>
      <c r="P277" s="18"/>
      <c r="Q277" s="18"/>
      <c r="R277" s="18"/>
      <c r="S277" s="17"/>
      <c r="T277" s="18"/>
      <c r="V277" s="27" t="n">
        <v>12546106</v>
      </c>
    </row>
    <row r="278" customFormat="false" ht="30" hidden="false" customHeight="true" outlineLevel="1" collapsed="false">
      <c r="A278" s="70"/>
      <c r="B278" s="77" t="s">
        <v>32</v>
      </c>
      <c r="C278" s="70"/>
      <c r="D278" s="70"/>
      <c r="E278" s="72"/>
      <c r="F278" s="73"/>
      <c r="G278" s="74"/>
      <c r="H278" s="75"/>
      <c r="I278" s="70"/>
      <c r="J278" s="77" t="s">
        <v>32</v>
      </c>
      <c r="K278" s="70"/>
      <c r="L278" s="70"/>
      <c r="M278" s="72"/>
      <c r="N278" s="73"/>
      <c r="O278" s="78"/>
      <c r="P278" s="18"/>
      <c r="Q278" s="18"/>
      <c r="R278" s="18"/>
      <c r="S278" s="17"/>
      <c r="T278" s="18"/>
    </row>
    <row r="279" customFormat="false" ht="30" hidden="false" customHeight="true" outlineLevel="1" collapsed="false">
      <c r="A279" s="70"/>
      <c r="B279" s="77" t="s">
        <v>250</v>
      </c>
      <c r="C279" s="70" t="n">
        <v>1</v>
      </c>
      <c r="D279" s="70" t="s">
        <v>34</v>
      </c>
      <c r="E279" s="72" t="n">
        <v>70600000</v>
      </c>
      <c r="F279" s="73" t="n">
        <f aca="false">C279*E279</f>
        <v>70600000</v>
      </c>
      <c r="G279" s="98"/>
      <c r="H279" s="99"/>
      <c r="I279" s="70"/>
      <c r="J279" s="77" t="s">
        <v>250</v>
      </c>
      <c r="K279" s="70" t="n">
        <v>1</v>
      </c>
      <c r="L279" s="70" t="s">
        <v>34</v>
      </c>
      <c r="M279" s="72" t="n">
        <v>70600000</v>
      </c>
      <c r="N279" s="73" t="n">
        <f aca="false">K279*M279</f>
        <v>70600000</v>
      </c>
      <c r="O279" s="97"/>
      <c r="P279" s="16"/>
      <c r="Q279" s="16"/>
      <c r="R279" s="16"/>
      <c r="S279" s="87"/>
      <c r="T279" s="18"/>
      <c r="V279" s="88" t="n">
        <v>12546106</v>
      </c>
    </row>
    <row r="280" customFormat="false" ht="30" hidden="false" customHeight="true" outlineLevel="1" collapsed="false">
      <c r="A280" s="70" t="n">
        <v>511622</v>
      </c>
      <c r="B280" s="71" t="s">
        <v>251</v>
      </c>
      <c r="C280" s="70"/>
      <c r="D280" s="70"/>
      <c r="E280" s="72"/>
      <c r="F280" s="73" t="n">
        <f aca="false">SUM(F282:F282)</f>
        <v>25000000</v>
      </c>
      <c r="G280" s="74"/>
      <c r="H280" s="75"/>
      <c r="I280" s="70" t="n">
        <v>511622</v>
      </c>
      <c r="J280" s="71" t="s">
        <v>251</v>
      </c>
      <c r="K280" s="70"/>
      <c r="L280" s="70"/>
      <c r="M280" s="72"/>
      <c r="N280" s="73" t="n">
        <f aca="false">SUM(N282:N282)</f>
        <v>25000000</v>
      </c>
      <c r="O280" s="76"/>
      <c r="P280" s="18"/>
      <c r="Q280" s="18"/>
      <c r="R280" s="18"/>
      <c r="S280" s="17"/>
      <c r="T280" s="18"/>
      <c r="V280" s="27" t="n">
        <v>4422673</v>
      </c>
    </row>
    <row r="281" customFormat="false" ht="30" hidden="false" customHeight="true" outlineLevel="1" collapsed="false">
      <c r="A281" s="70"/>
      <c r="B281" s="77" t="s">
        <v>32</v>
      </c>
      <c r="C281" s="70"/>
      <c r="D281" s="70"/>
      <c r="E281" s="72"/>
      <c r="F281" s="73"/>
      <c r="G281" s="74"/>
      <c r="H281" s="75"/>
      <c r="I281" s="70"/>
      <c r="J281" s="77" t="s">
        <v>32</v>
      </c>
      <c r="K281" s="70"/>
      <c r="L281" s="70"/>
      <c r="M281" s="72"/>
      <c r="N281" s="73"/>
      <c r="O281" s="78"/>
      <c r="P281" s="18"/>
      <c r="Q281" s="18"/>
      <c r="R281" s="18"/>
      <c r="S281" s="17"/>
      <c r="T281" s="18"/>
    </row>
    <row r="282" customFormat="false" ht="30" hidden="false" customHeight="true" outlineLevel="1" collapsed="false">
      <c r="A282" s="70"/>
      <c r="B282" s="77" t="s">
        <v>252</v>
      </c>
      <c r="C282" s="70" t="n">
        <v>1</v>
      </c>
      <c r="D282" s="70" t="s">
        <v>34</v>
      </c>
      <c r="E282" s="72" t="n">
        <v>25000000</v>
      </c>
      <c r="F282" s="73" t="n">
        <f aca="false">C282*E282</f>
        <v>25000000</v>
      </c>
      <c r="G282" s="98"/>
      <c r="H282" s="99"/>
      <c r="I282" s="70"/>
      <c r="J282" s="77" t="s">
        <v>252</v>
      </c>
      <c r="K282" s="70" t="n">
        <v>1</v>
      </c>
      <c r="L282" s="70" t="s">
        <v>34</v>
      </c>
      <c r="M282" s="72" t="n">
        <v>25000000</v>
      </c>
      <c r="N282" s="73" t="n">
        <f aca="false">K282*M282</f>
        <v>25000000</v>
      </c>
      <c r="O282" s="97"/>
      <c r="P282" s="16"/>
      <c r="Q282" s="16"/>
      <c r="R282" s="16"/>
      <c r="S282" s="87"/>
      <c r="T282" s="18"/>
      <c r="V282" s="88" t="n">
        <v>4422673</v>
      </c>
    </row>
    <row r="283" customFormat="false" ht="30" hidden="false" customHeight="true" outlineLevel="1" collapsed="false">
      <c r="A283" s="70" t="n">
        <v>511624</v>
      </c>
      <c r="B283" s="71" t="s">
        <v>253</v>
      </c>
      <c r="C283" s="70"/>
      <c r="D283" s="70"/>
      <c r="E283" s="72"/>
      <c r="F283" s="73" t="n">
        <f aca="false">SUM(F285:F285)</f>
        <v>4200000</v>
      </c>
      <c r="G283" s="74"/>
      <c r="H283" s="75"/>
      <c r="I283" s="70" t="n">
        <v>511624</v>
      </c>
      <c r="J283" s="71" t="s">
        <v>253</v>
      </c>
      <c r="K283" s="70"/>
      <c r="L283" s="70"/>
      <c r="M283" s="72"/>
      <c r="N283" s="73" t="n">
        <f aca="false">SUM(N285:N285)</f>
        <v>4200000</v>
      </c>
      <c r="O283" s="76"/>
      <c r="P283" s="18"/>
      <c r="Q283" s="18"/>
      <c r="R283" s="18"/>
      <c r="S283" s="17"/>
      <c r="T283" s="18"/>
      <c r="V283" s="27" t="n">
        <v>600000</v>
      </c>
    </row>
    <row r="284" customFormat="false" ht="30" hidden="false" customHeight="true" outlineLevel="1" collapsed="false">
      <c r="A284" s="70"/>
      <c r="B284" s="77" t="s">
        <v>32</v>
      </c>
      <c r="C284" s="70"/>
      <c r="D284" s="70"/>
      <c r="E284" s="72"/>
      <c r="F284" s="73"/>
      <c r="G284" s="74"/>
      <c r="H284" s="75"/>
      <c r="I284" s="70"/>
      <c r="J284" s="77" t="s">
        <v>32</v>
      </c>
      <c r="K284" s="70"/>
      <c r="L284" s="70"/>
      <c r="M284" s="72"/>
      <c r="N284" s="73"/>
      <c r="O284" s="78"/>
      <c r="P284" s="18"/>
      <c r="Q284" s="18"/>
      <c r="R284" s="18"/>
      <c r="S284" s="17"/>
      <c r="T284" s="18"/>
    </row>
    <row r="285" customFormat="false" ht="30" hidden="false" customHeight="true" outlineLevel="1" collapsed="false">
      <c r="A285" s="70"/>
      <c r="B285" s="77" t="s">
        <v>254</v>
      </c>
      <c r="C285" s="70" t="n">
        <v>1</v>
      </c>
      <c r="D285" s="70" t="s">
        <v>34</v>
      </c>
      <c r="E285" s="72" t="n">
        <v>4200000</v>
      </c>
      <c r="F285" s="73" t="n">
        <f aca="false">C285*E285</f>
        <v>4200000</v>
      </c>
      <c r="G285" s="98"/>
      <c r="H285" s="99"/>
      <c r="I285" s="70"/>
      <c r="J285" s="77" t="s">
        <v>254</v>
      </c>
      <c r="K285" s="70" t="n">
        <v>1</v>
      </c>
      <c r="L285" s="70" t="s">
        <v>34</v>
      </c>
      <c r="M285" s="72" t="n">
        <v>4200000</v>
      </c>
      <c r="N285" s="73" t="n">
        <f aca="false">K285*M285</f>
        <v>4200000</v>
      </c>
      <c r="O285" s="97"/>
      <c r="P285" s="16"/>
      <c r="Q285" s="16"/>
      <c r="R285" s="16"/>
      <c r="S285" s="87"/>
      <c r="T285" s="18"/>
      <c r="V285" s="88" t="n">
        <v>600000</v>
      </c>
    </row>
    <row r="286" customFormat="false" ht="30" hidden="false" customHeight="true" outlineLevel="1" collapsed="false">
      <c r="A286" s="70" t="n">
        <v>511625</v>
      </c>
      <c r="B286" s="71" t="s">
        <v>255</v>
      </c>
      <c r="C286" s="70"/>
      <c r="D286" s="70"/>
      <c r="E286" s="72"/>
      <c r="F286" s="73" t="n">
        <f aca="false">SUM(F288:F288)</f>
        <v>81200000</v>
      </c>
      <c r="G286" s="74"/>
      <c r="H286" s="75"/>
      <c r="I286" s="70" t="n">
        <v>511625</v>
      </c>
      <c r="J286" s="71" t="s">
        <v>255</v>
      </c>
      <c r="K286" s="70"/>
      <c r="L286" s="70"/>
      <c r="M286" s="72"/>
      <c r="N286" s="73" t="n">
        <f aca="false">SUM(N288:N288)</f>
        <v>81200000</v>
      </c>
      <c r="O286" s="76"/>
      <c r="P286" s="18"/>
      <c r="Q286" s="18"/>
      <c r="R286" s="18"/>
      <c r="S286" s="17"/>
      <c r="T286" s="18"/>
      <c r="V286" s="27" t="n">
        <v>13662315</v>
      </c>
    </row>
    <row r="287" customFormat="false" ht="30" hidden="false" customHeight="true" outlineLevel="1" collapsed="false">
      <c r="A287" s="70"/>
      <c r="B287" s="77" t="s">
        <v>32</v>
      </c>
      <c r="C287" s="70"/>
      <c r="D287" s="70"/>
      <c r="E287" s="72"/>
      <c r="F287" s="73"/>
      <c r="G287" s="74"/>
      <c r="H287" s="75"/>
      <c r="I287" s="70"/>
      <c r="J287" s="77" t="s">
        <v>32</v>
      </c>
      <c r="K287" s="70"/>
      <c r="L287" s="70"/>
      <c r="M287" s="72"/>
      <c r="N287" s="73"/>
      <c r="O287" s="78"/>
      <c r="P287" s="18"/>
      <c r="Q287" s="18"/>
      <c r="R287" s="18"/>
      <c r="S287" s="17"/>
      <c r="T287" s="18"/>
    </row>
    <row r="288" customFormat="false" ht="30" hidden="false" customHeight="true" outlineLevel="1" collapsed="false">
      <c r="A288" s="70"/>
      <c r="B288" s="77" t="s">
        <v>256</v>
      </c>
      <c r="C288" s="70" t="n">
        <v>1</v>
      </c>
      <c r="D288" s="70" t="s">
        <v>34</v>
      </c>
      <c r="E288" s="72" t="n">
        <v>81200000</v>
      </c>
      <c r="F288" s="73" t="n">
        <f aca="false">C288*E288</f>
        <v>81200000</v>
      </c>
      <c r="G288" s="98"/>
      <c r="H288" s="99"/>
      <c r="I288" s="70"/>
      <c r="J288" s="77" t="s">
        <v>256</v>
      </c>
      <c r="K288" s="70" t="n">
        <v>1</v>
      </c>
      <c r="L288" s="70" t="s">
        <v>34</v>
      </c>
      <c r="M288" s="72" t="n">
        <v>81200000</v>
      </c>
      <c r="N288" s="73" t="n">
        <f aca="false">K288*M288</f>
        <v>81200000</v>
      </c>
      <c r="O288" s="97"/>
      <c r="P288" s="16"/>
      <c r="Q288" s="16"/>
      <c r="R288" s="16"/>
      <c r="S288" s="87"/>
      <c r="T288" s="18"/>
      <c r="V288" s="88" t="n">
        <v>13662315</v>
      </c>
    </row>
    <row r="289" customFormat="false" ht="30" hidden="false" customHeight="true" outlineLevel="1" collapsed="false">
      <c r="A289" s="70" t="n">
        <v>511628</v>
      </c>
      <c r="B289" s="71" t="s">
        <v>257</v>
      </c>
      <c r="C289" s="70"/>
      <c r="D289" s="70"/>
      <c r="E289" s="72"/>
      <c r="F289" s="73" t="n">
        <f aca="false">SUM(F291:F291)</f>
        <v>218000000</v>
      </c>
      <c r="G289" s="74"/>
      <c r="H289" s="75"/>
      <c r="I289" s="70" t="n">
        <v>511628</v>
      </c>
      <c r="J289" s="71" t="s">
        <v>257</v>
      </c>
      <c r="K289" s="70"/>
      <c r="L289" s="70"/>
      <c r="M289" s="72"/>
      <c r="N289" s="73" t="n">
        <f aca="false">SUM(N291:N291)</f>
        <v>218000000</v>
      </c>
      <c r="O289" s="76"/>
      <c r="P289" s="18"/>
      <c r="Q289" s="18"/>
      <c r="R289" s="18"/>
      <c r="S289" s="17"/>
      <c r="T289" s="18"/>
      <c r="V289" s="27" t="n">
        <v>65217000</v>
      </c>
    </row>
    <row r="290" customFormat="false" ht="30" hidden="false" customHeight="true" outlineLevel="1" collapsed="false">
      <c r="A290" s="70"/>
      <c r="B290" s="77" t="s">
        <v>32</v>
      </c>
      <c r="C290" s="70"/>
      <c r="D290" s="70"/>
      <c r="E290" s="72"/>
      <c r="F290" s="73"/>
      <c r="G290" s="74"/>
      <c r="H290" s="75"/>
      <c r="I290" s="70"/>
      <c r="J290" s="77" t="s">
        <v>32</v>
      </c>
      <c r="K290" s="70"/>
      <c r="L290" s="70"/>
      <c r="M290" s="72"/>
      <c r="N290" s="73"/>
      <c r="O290" s="78"/>
      <c r="P290" s="18"/>
      <c r="Q290" s="18"/>
      <c r="R290" s="18"/>
      <c r="S290" s="17"/>
      <c r="T290" s="18"/>
    </row>
    <row r="291" customFormat="false" ht="30" hidden="false" customHeight="true" outlineLevel="1" collapsed="false">
      <c r="A291" s="70"/>
      <c r="B291" s="77" t="s">
        <v>258</v>
      </c>
      <c r="C291" s="70" t="n">
        <v>1</v>
      </c>
      <c r="D291" s="70" t="s">
        <v>34</v>
      </c>
      <c r="E291" s="72" t="n">
        <v>218000000</v>
      </c>
      <c r="F291" s="73" t="n">
        <f aca="false">C291*E291</f>
        <v>218000000</v>
      </c>
      <c r="G291" s="98"/>
      <c r="H291" s="99"/>
      <c r="I291" s="70"/>
      <c r="J291" s="77" t="s">
        <v>258</v>
      </c>
      <c r="K291" s="70" t="n">
        <v>1</v>
      </c>
      <c r="L291" s="70" t="s">
        <v>34</v>
      </c>
      <c r="M291" s="72" t="n">
        <v>218000000</v>
      </c>
      <c r="N291" s="73" t="n">
        <f aca="false">K291*M291</f>
        <v>218000000</v>
      </c>
      <c r="O291" s="97"/>
      <c r="P291" s="16"/>
      <c r="Q291" s="16"/>
      <c r="R291" s="16"/>
      <c r="S291" s="87"/>
      <c r="T291" s="18"/>
      <c r="V291" s="88" t="n">
        <v>65217000</v>
      </c>
    </row>
    <row r="292" customFormat="false" ht="30" hidden="false" customHeight="true" outlineLevel="1" collapsed="false">
      <c r="A292" s="70" t="n">
        <v>511633</v>
      </c>
      <c r="B292" s="71" t="s">
        <v>259</v>
      </c>
      <c r="C292" s="70"/>
      <c r="D292" s="70"/>
      <c r="E292" s="72"/>
      <c r="F292" s="73" t="n">
        <f aca="false">SUM(F294:F294)</f>
        <v>63500000</v>
      </c>
      <c r="G292" s="74"/>
      <c r="H292" s="75"/>
      <c r="I292" s="70" t="n">
        <v>511633</v>
      </c>
      <c r="J292" s="71" t="s">
        <v>259</v>
      </c>
      <c r="K292" s="70"/>
      <c r="L292" s="70"/>
      <c r="M292" s="72"/>
      <c r="N292" s="73" t="n">
        <f aca="false">SUM(N294:N294)</f>
        <v>63500000</v>
      </c>
      <c r="O292" s="76"/>
      <c r="P292" s="18"/>
      <c r="Q292" s="18"/>
      <c r="R292" s="18"/>
      <c r="S292" s="17"/>
      <c r="T292" s="18"/>
      <c r="V292" s="27" t="n">
        <v>11027092</v>
      </c>
    </row>
    <row r="293" customFormat="false" ht="30" hidden="false" customHeight="true" outlineLevel="1" collapsed="false">
      <c r="A293" s="70"/>
      <c r="B293" s="77" t="s">
        <v>32</v>
      </c>
      <c r="C293" s="70"/>
      <c r="D293" s="70"/>
      <c r="E293" s="72"/>
      <c r="F293" s="73"/>
      <c r="G293" s="74"/>
      <c r="H293" s="75"/>
      <c r="I293" s="70"/>
      <c r="J293" s="77" t="s">
        <v>32</v>
      </c>
      <c r="K293" s="70"/>
      <c r="L293" s="70"/>
      <c r="M293" s="72"/>
      <c r="N293" s="73"/>
      <c r="O293" s="78"/>
      <c r="P293" s="18"/>
      <c r="Q293" s="18"/>
      <c r="R293" s="18"/>
      <c r="S293" s="17"/>
      <c r="T293" s="18"/>
    </row>
    <row r="294" customFormat="false" ht="30" hidden="false" customHeight="true" outlineLevel="1" collapsed="false">
      <c r="A294" s="70"/>
      <c r="B294" s="77" t="s">
        <v>260</v>
      </c>
      <c r="C294" s="70" t="n">
        <v>1</v>
      </c>
      <c r="D294" s="70" t="s">
        <v>34</v>
      </c>
      <c r="E294" s="72" t="n">
        <v>63500000</v>
      </c>
      <c r="F294" s="73" t="n">
        <f aca="false">C294*E294</f>
        <v>63500000</v>
      </c>
      <c r="G294" s="98"/>
      <c r="H294" s="99"/>
      <c r="I294" s="70"/>
      <c r="J294" s="77" t="s">
        <v>260</v>
      </c>
      <c r="K294" s="70" t="n">
        <v>1</v>
      </c>
      <c r="L294" s="70" t="s">
        <v>34</v>
      </c>
      <c r="M294" s="72" t="n">
        <v>63500000</v>
      </c>
      <c r="N294" s="73" t="n">
        <f aca="false">K294*M294</f>
        <v>63500000</v>
      </c>
      <c r="O294" s="97"/>
      <c r="P294" s="16"/>
      <c r="Q294" s="16"/>
      <c r="R294" s="16"/>
      <c r="S294" s="87"/>
      <c r="T294" s="18"/>
      <c r="V294" s="88" t="n">
        <v>11027092</v>
      </c>
    </row>
    <row r="295" customFormat="false" ht="30" hidden="false" customHeight="true" outlineLevel="1" collapsed="false">
      <c r="A295" s="70" t="n">
        <v>512212</v>
      </c>
      <c r="B295" s="71" t="s">
        <v>261</v>
      </c>
      <c r="C295" s="70"/>
      <c r="D295" s="70"/>
      <c r="E295" s="72"/>
      <c r="F295" s="73" t="n">
        <f aca="false">SUM(F297:F297)</f>
        <v>90000000</v>
      </c>
      <c r="G295" s="74"/>
      <c r="H295" s="75"/>
      <c r="I295" s="70" t="n">
        <v>512212</v>
      </c>
      <c r="J295" s="71" t="s">
        <v>261</v>
      </c>
      <c r="K295" s="70"/>
      <c r="L295" s="70"/>
      <c r="M295" s="72"/>
      <c r="N295" s="73" t="n">
        <f aca="false">SUM(N297:N297)</f>
        <v>115000000</v>
      </c>
      <c r="O295" s="76"/>
      <c r="P295" s="18"/>
      <c r="Q295" s="18"/>
      <c r="R295" s="18"/>
      <c r="S295" s="17"/>
      <c r="T295" s="18"/>
      <c r="V295" s="27" t="n">
        <v>15258000</v>
      </c>
    </row>
    <row r="296" customFormat="false" ht="30" hidden="false" customHeight="true" outlineLevel="1" collapsed="false">
      <c r="A296" s="70"/>
      <c r="B296" s="77" t="s">
        <v>32</v>
      </c>
      <c r="C296" s="70"/>
      <c r="D296" s="70"/>
      <c r="E296" s="72"/>
      <c r="F296" s="73"/>
      <c r="G296" s="74"/>
      <c r="H296" s="75"/>
      <c r="I296" s="70"/>
      <c r="J296" s="77" t="s">
        <v>32</v>
      </c>
      <c r="K296" s="70"/>
      <c r="L296" s="70"/>
      <c r="M296" s="72"/>
      <c r="N296" s="73"/>
      <c r="O296" s="78"/>
      <c r="P296" s="18"/>
      <c r="Q296" s="18"/>
      <c r="R296" s="18"/>
      <c r="S296" s="17"/>
      <c r="T296" s="18"/>
    </row>
    <row r="297" customFormat="false" ht="30" hidden="false" customHeight="true" outlineLevel="1" collapsed="false">
      <c r="A297" s="107"/>
      <c r="B297" s="108" t="s">
        <v>262</v>
      </c>
      <c r="C297" s="107" t="n">
        <v>1</v>
      </c>
      <c r="D297" s="107" t="s">
        <v>34</v>
      </c>
      <c r="E297" s="109" t="n">
        <v>90000000</v>
      </c>
      <c r="F297" s="110" t="n">
        <f aca="false">C297*E297</f>
        <v>90000000</v>
      </c>
      <c r="G297" s="142"/>
      <c r="H297" s="143"/>
      <c r="I297" s="107"/>
      <c r="J297" s="108" t="s">
        <v>262</v>
      </c>
      <c r="K297" s="107" t="n">
        <v>1</v>
      </c>
      <c r="L297" s="107" t="s">
        <v>34</v>
      </c>
      <c r="M297" s="109" t="n">
        <v>115000000</v>
      </c>
      <c r="N297" s="110" t="n">
        <f aca="false">K297*M297</f>
        <v>115000000</v>
      </c>
      <c r="O297" s="113"/>
      <c r="P297" s="114"/>
      <c r="Q297" s="114"/>
      <c r="R297" s="115" t="n">
        <f aca="false">F297-N297</f>
        <v>-25000000</v>
      </c>
      <c r="S297" s="87"/>
      <c r="T297" s="52" t="n">
        <f aca="false">N297-F297</f>
        <v>25000000</v>
      </c>
      <c r="V297" s="88" t="n">
        <v>15258000</v>
      </c>
    </row>
    <row r="298" customFormat="false" ht="30" hidden="false" customHeight="true" outlineLevel="1" collapsed="false">
      <c r="A298" s="70" t="n">
        <v>512414</v>
      </c>
      <c r="B298" s="71" t="s">
        <v>263</v>
      </c>
      <c r="C298" s="70"/>
      <c r="D298" s="70"/>
      <c r="E298" s="72"/>
      <c r="F298" s="73" t="n">
        <f aca="false">SUM(F300:F300)</f>
        <v>1198700000</v>
      </c>
      <c r="G298" s="74"/>
      <c r="H298" s="75"/>
      <c r="I298" s="70" t="n">
        <v>512414</v>
      </c>
      <c r="J298" s="71" t="s">
        <v>263</v>
      </c>
      <c r="K298" s="70"/>
      <c r="L298" s="70"/>
      <c r="M298" s="72"/>
      <c r="N298" s="73" t="n">
        <f aca="false">SUM(N300:N300)</f>
        <v>1198700000</v>
      </c>
      <c r="O298" s="76"/>
      <c r="P298" s="18"/>
      <c r="Q298" s="18"/>
      <c r="R298" s="18"/>
      <c r="S298" s="17"/>
      <c r="T298" s="18"/>
      <c r="V298" s="27" t="n">
        <v>301426363</v>
      </c>
    </row>
    <row r="299" customFormat="false" ht="30" hidden="false" customHeight="true" outlineLevel="1" collapsed="false">
      <c r="A299" s="70"/>
      <c r="B299" s="77" t="s">
        <v>32</v>
      </c>
      <c r="C299" s="70"/>
      <c r="D299" s="70"/>
      <c r="E299" s="72"/>
      <c r="F299" s="73"/>
      <c r="G299" s="74"/>
      <c r="H299" s="75"/>
      <c r="I299" s="70"/>
      <c r="J299" s="77" t="s">
        <v>32</v>
      </c>
      <c r="K299" s="70"/>
      <c r="L299" s="70"/>
      <c r="M299" s="72"/>
      <c r="N299" s="73"/>
      <c r="O299" s="78"/>
      <c r="P299" s="18"/>
      <c r="Q299" s="18"/>
      <c r="R299" s="18"/>
      <c r="S299" s="17"/>
      <c r="T299" s="18"/>
    </row>
    <row r="300" customFormat="false" ht="30" hidden="false" customHeight="true" outlineLevel="1" collapsed="false">
      <c r="A300" s="70"/>
      <c r="B300" s="77" t="s">
        <v>264</v>
      </c>
      <c r="C300" s="70" t="n">
        <v>1</v>
      </c>
      <c r="D300" s="70" t="s">
        <v>34</v>
      </c>
      <c r="E300" s="72" t="n">
        <v>1198700000</v>
      </c>
      <c r="F300" s="73" t="n">
        <f aca="false">C300*E300</f>
        <v>1198700000</v>
      </c>
      <c r="G300" s="98"/>
      <c r="H300" s="99"/>
      <c r="I300" s="70"/>
      <c r="J300" s="77" t="s">
        <v>264</v>
      </c>
      <c r="K300" s="70" t="n">
        <v>1</v>
      </c>
      <c r="L300" s="70" t="s">
        <v>34</v>
      </c>
      <c r="M300" s="72" t="n">
        <v>1198700000</v>
      </c>
      <c r="N300" s="73" t="n">
        <f aca="false">K300*M300</f>
        <v>1198700000</v>
      </c>
      <c r="O300" s="97"/>
      <c r="P300" s="16"/>
      <c r="Q300" s="16"/>
      <c r="R300" s="16"/>
      <c r="S300" s="87"/>
      <c r="T300" s="18"/>
      <c r="V300" s="88" t="n">
        <v>301426363</v>
      </c>
    </row>
    <row r="301" customFormat="false" ht="30" hidden="false" customHeight="true" outlineLevel="0" collapsed="false">
      <c r="A301" s="55" t="s">
        <v>265</v>
      </c>
      <c r="B301" s="56" t="s">
        <v>266</v>
      </c>
      <c r="C301" s="55"/>
      <c r="D301" s="55"/>
      <c r="E301" s="57"/>
      <c r="F301" s="58" t="n">
        <f aca="false">SUM(F302,F317,F333,F337,F343,F352,F409,F422,F427)</f>
        <v>5223565000</v>
      </c>
      <c r="G301" s="59"/>
      <c r="H301" s="60"/>
      <c r="I301" s="55" t="s">
        <v>265</v>
      </c>
      <c r="J301" s="56" t="s">
        <v>266</v>
      </c>
      <c r="K301" s="55"/>
      <c r="L301" s="55"/>
      <c r="M301" s="57"/>
      <c r="N301" s="58" t="n">
        <f aca="false">SUM(N302,N317,N333,N337,N343,N352,N409,N422,N427)</f>
        <v>5223565000</v>
      </c>
      <c r="O301" s="61" t="n">
        <f aca="false">O489</f>
        <v>0</v>
      </c>
      <c r="P301" s="209"/>
      <c r="Q301" s="210" t="n">
        <f aca="false">SUM(Q302:Q430)</f>
        <v>0</v>
      </c>
      <c r="R301" s="210" t="n">
        <f aca="false">SUM(R302:R430)</f>
        <v>0</v>
      </c>
      <c r="S301" s="17"/>
      <c r="T301" s="128" t="n">
        <f aca="false">N301-F301</f>
        <v>0</v>
      </c>
      <c r="U301" s="208" t="n">
        <f aca="false">SUM(T302:T430)</f>
        <v>0</v>
      </c>
      <c r="V301" s="27" t="n">
        <v>1122405211</v>
      </c>
    </row>
    <row r="302" customFormat="false" ht="23.25" hidden="false" customHeight="true" outlineLevel="0" collapsed="false">
      <c r="A302" s="62" t="s">
        <v>29</v>
      </c>
      <c r="B302" s="63" t="s">
        <v>267</v>
      </c>
      <c r="C302" s="64"/>
      <c r="D302" s="64"/>
      <c r="E302" s="65"/>
      <c r="F302" s="66" t="n">
        <f aca="false">SUM(F303,F312)</f>
        <v>738570000</v>
      </c>
      <c r="G302" s="67"/>
      <c r="H302" s="48"/>
      <c r="I302" s="62" t="s">
        <v>29</v>
      </c>
      <c r="J302" s="63" t="s">
        <v>267</v>
      </c>
      <c r="K302" s="64"/>
      <c r="L302" s="64"/>
      <c r="M302" s="65"/>
      <c r="N302" s="66" t="n">
        <f aca="false">SUM(N303,N312)</f>
        <v>786570000</v>
      </c>
      <c r="O302" s="68"/>
      <c r="P302" s="69"/>
      <c r="Q302" s="69"/>
      <c r="R302" s="69"/>
      <c r="S302" s="17"/>
      <c r="T302" s="128"/>
      <c r="V302" s="27" t="n">
        <v>1409567</v>
      </c>
    </row>
    <row r="303" customFormat="false" ht="30" hidden="false" customHeight="true" outlineLevel="1" collapsed="false">
      <c r="A303" s="70" t="n">
        <v>523111</v>
      </c>
      <c r="B303" s="71" t="s">
        <v>268</v>
      </c>
      <c r="C303" s="70"/>
      <c r="D303" s="70"/>
      <c r="E303" s="72"/>
      <c r="F303" s="73" t="n">
        <f aca="false">SUM(F305:F311)</f>
        <v>433770000</v>
      </c>
      <c r="G303" s="74"/>
      <c r="H303" s="75"/>
      <c r="I303" s="70" t="n">
        <v>523111</v>
      </c>
      <c r="J303" s="71" t="s">
        <v>268</v>
      </c>
      <c r="K303" s="70"/>
      <c r="L303" s="70"/>
      <c r="M303" s="72"/>
      <c r="N303" s="73" t="n">
        <f aca="false">SUM(N305:N311)</f>
        <v>481770000</v>
      </c>
      <c r="O303" s="76"/>
      <c r="P303" s="18"/>
      <c r="Q303" s="18"/>
      <c r="R303" s="18"/>
      <c r="S303" s="17"/>
      <c r="T303" s="18"/>
      <c r="V303" s="27" t="n">
        <f aca="false">SUM(V305:V311)</f>
        <v>677567</v>
      </c>
    </row>
    <row r="304" customFormat="false" ht="30" hidden="false" customHeight="true" outlineLevel="1" collapsed="false">
      <c r="A304" s="70"/>
      <c r="B304" s="77" t="s">
        <v>32</v>
      </c>
      <c r="C304" s="70"/>
      <c r="D304" s="70"/>
      <c r="E304" s="72"/>
      <c r="F304" s="73"/>
      <c r="G304" s="74"/>
      <c r="H304" s="75"/>
      <c r="I304" s="70"/>
      <c r="J304" s="77" t="s">
        <v>32</v>
      </c>
      <c r="K304" s="70"/>
      <c r="L304" s="70"/>
      <c r="M304" s="72"/>
      <c r="N304" s="73"/>
      <c r="O304" s="78"/>
      <c r="P304" s="18"/>
      <c r="Q304" s="18"/>
      <c r="R304" s="18"/>
      <c r="S304" s="17"/>
      <c r="T304" s="18"/>
    </row>
    <row r="305" customFormat="false" ht="30" hidden="false" customHeight="true" outlineLevel="1" collapsed="false">
      <c r="A305" s="211"/>
      <c r="B305" s="212" t="s">
        <v>269</v>
      </c>
      <c r="C305" s="211" t="n">
        <v>759</v>
      </c>
      <c r="D305" s="211" t="s">
        <v>270</v>
      </c>
      <c r="E305" s="213" t="n">
        <v>10000</v>
      </c>
      <c r="F305" s="214" t="n">
        <f aca="false">C305*E305</f>
        <v>7590000</v>
      </c>
      <c r="G305" s="215" t="s">
        <v>271</v>
      </c>
      <c r="H305" s="216"/>
      <c r="I305" s="211"/>
      <c r="J305" s="212" t="s">
        <v>269</v>
      </c>
      <c r="K305" s="211" t="n">
        <v>759</v>
      </c>
      <c r="L305" s="211" t="s">
        <v>270</v>
      </c>
      <c r="M305" s="213" t="n">
        <v>10000</v>
      </c>
      <c r="N305" s="214" t="n">
        <f aca="false">K305*M305</f>
        <v>7590000</v>
      </c>
      <c r="O305" s="217"/>
      <c r="P305" s="218"/>
      <c r="Q305" s="218"/>
      <c r="R305" s="218"/>
      <c r="S305" s="219"/>
      <c r="T305" s="218"/>
      <c r="V305" s="88" t="n">
        <v>42000</v>
      </c>
    </row>
    <row r="306" customFormat="false" ht="30" hidden="false" customHeight="true" outlineLevel="1" collapsed="false">
      <c r="A306" s="211"/>
      <c r="B306" s="212" t="s">
        <v>272</v>
      </c>
      <c r="C306" s="211" t="n">
        <v>1680</v>
      </c>
      <c r="D306" s="211" t="s">
        <v>270</v>
      </c>
      <c r="E306" s="213" t="n">
        <v>196000</v>
      </c>
      <c r="F306" s="214" t="n">
        <f aca="false">C306*E306</f>
        <v>329280000</v>
      </c>
      <c r="G306" s="215" t="s">
        <v>271</v>
      </c>
      <c r="H306" s="216"/>
      <c r="I306" s="211"/>
      <c r="J306" s="212" t="s">
        <v>272</v>
      </c>
      <c r="K306" s="211" t="n">
        <v>1680</v>
      </c>
      <c r="L306" s="211" t="s">
        <v>270</v>
      </c>
      <c r="M306" s="213" t="n">
        <v>196000</v>
      </c>
      <c r="N306" s="214" t="n">
        <f aca="false">K306*M306</f>
        <v>329280000</v>
      </c>
      <c r="O306" s="217"/>
      <c r="P306" s="218"/>
      <c r="Q306" s="218"/>
      <c r="R306" s="218"/>
      <c r="S306" s="219"/>
      <c r="T306" s="218"/>
      <c r="V306" s="88" t="n">
        <v>172317</v>
      </c>
    </row>
    <row r="307" customFormat="false" ht="30" hidden="false" customHeight="true" outlineLevel="1" collapsed="false">
      <c r="A307" s="211"/>
      <c r="B307" s="212" t="s">
        <v>273</v>
      </c>
      <c r="C307" s="211" t="n">
        <v>50</v>
      </c>
      <c r="D307" s="211" t="s">
        <v>270</v>
      </c>
      <c r="E307" s="213" t="n">
        <v>170000</v>
      </c>
      <c r="F307" s="214" t="n">
        <f aca="false">C307*E307</f>
        <v>8500000</v>
      </c>
      <c r="G307" s="215" t="s">
        <v>271</v>
      </c>
      <c r="H307" s="216"/>
      <c r="I307" s="211"/>
      <c r="J307" s="212" t="s">
        <v>273</v>
      </c>
      <c r="K307" s="211" t="n">
        <v>50</v>
      </c>
      <c r="L307" s="211" t="s">
        <v>270</v>
      </c>
      <c r="M307" s="213" t="n">
        <v>170000</v>
      </c>
      <c r="N307" s="214" t="n">
        <f aca="false">K307*M307</f>
        <v>8500000</v>
      </c>
      <c r="O307" s="217"/>
      <c r="P307" s="218"/>
      <c r="Q307" s="218"/>
      <c r="R307" s="218"/>
      <c r="S307" s="219"/>
      <c r="T307" s="218"/>
      <c r="V307" s="88" t="n">
        <v>147250</v>
      </c>
    </row>
    <row r="308" customFormat="false" ht="30" hidden="false" customHeight="true" outlineLevel="1" collapsed="false">
      <c r="A308" s="211"/>
      <c r="B308" s="212" t="s">
        <v>274</v>
      </c>
      <c r="C308" s="211" t="n">
        <v>50</v>
      </c>
      <c r="D308" s="211" t="s">
        <v>270</v>
      </c>
      <c r="E308" s="213" t="n">
        <v>170000</v>
      </c>
      <c r="F308" s="214" t="n">
        <f aca="false">C308*E308</f>
        <v>8500000</v>
      </c>
      <c r="G308" s="215" t="s">
        <v>271</v>
      </c>
      <c r="H308" s="216"/>
      <c r="I308" s="211"/>
      <c r="J308" s="212" t="s">
        <v>274</v>
      </c>
      <c r="K308" s="211" t="n">
        <v>50</v>
      </c>
      <c r="L308" s="211" t="s">
        <v>270</v>
      </c>
      <c r="M308" s="213" t="n">
        <v>170000</v>
      </c>
      <c r="N308" s="214" t="n">
        <f aca="false">K308*M308</f>
        <v>8500000</v>
      </c>
      <c r="O308" s="217"/>
      <c r="P308" s="218"/>
      <c r="Q308" s="218"/>
      <c r="R308" s="218"/>
      <c r="S308" s="219"/>
      <c r="T308" s="218"/>
      <c r="V308" s="88" t="n">
        <v>50000</v>
      </c>
    </row>
    <row r="309" customFormat="false" ht="30" hidden="false" customHeight="true" outlineLevel="1" collapsed="false">
      <c r="A309" s="211"/>
      <c r="B309" s="212" t="s">
        <v>275</v>
      </c>
      <c r="C309" s="211" t="n">
        <v>200</v>
      </c>
      <c r="D309" s="211" t="s">
        <v>270</v>
      </c>
      <c r="E309" s="213" t="n">
        <v>170000</v>
      </c>
      <c r="F309" s="214" t="n">
        <f aca="false">C309*E309</f>
        <v>34000000</v>
      </c>
      <c r="G309" s="215" t="s">
        <v>271</v>
      </c>
      <c r="H309" s="216"/>
      <c r="I309" s="211"/>
      <c r="J309" s="212" t="s">
        <v>275</v>
      </c>
      <c r="K309" s="211" t="n">
        <v>200</v>
      </c>
      <c r="L309" s="211" t="s">
        <v>270</v>
      </c>
      <c r="M309" s="213" t="n">
        <v>170000</v>
      </c>
      <c r="N309" s="214" t="n">
        <f aca="false">K309*M309</f>
        <v>34000000</v>
      </c>
      <c r="O309" s="217"/>
      <c r="P309" s="218"/>
      <c r="Q309" s="218"/>
      <c r="R309" s="218"/>
      <c r="S309" s="219"/>
      <c r="T309" s="218"/>
      <c r="V309" s="88" t="n">
        <v>191000</v>
      </c>
    </row>
    <row r="310" customFormat="false" ht="30" hidden="false" customHeight="true" outlineLevel="1" collapsed="false">
      <c r="A310" s="211"/>
      <c r="B310" s="212" t="s">
        <v>276</v>
      </c>
      <c r="C310" s="211" t="n">
        <v>50</v>
      </c>
      <c r="D310" s="211" t="s">
        <v>34</v>
      </c>
      <c r="E310" s="213" t="n">
        <v>170000</v>
      </c>
      <c r="F310" s="214" t="n">
        <f aca="false">C310*E310</f>
        <v>8500000</v>
      </c>
      <c r="G310" s="215" t="s">
        <v>271</v>
      </c>
      <c r="H310" s="216"/>
      <c r="I310" s="211"/>
      <c r="J310" s="212" t="s">
        <v>276</v>
      </c>
      <c r="K310" s="211" t="n">
        <v>50</v>
      </c>
      <c r="L310" s="211" t="s">
        <v>270</v>
      </c>
      <c r="M310" s="213" t="n">
        <v>170000</v>
      </c>
      <c r="N310" s="214" t="n">
        <f aca="false">K310*M310</f>
        <v>8500000</v>
      </c>
      <c r="O310" s="217"/>
      <c r="P310" s="218"/>
      <c r="Q310" s="218"/>
      <c r="R310" s="218"/>
      <c r="S310" s="219"/>
      <c r="T310" s="218"/>
      <c r="V310" s="88" t="n">
        <v>68000</v>
      </c>
    </row>
    <row r="311" customFormat="false" ht="30" hidden="false" customHeight="true" outlineLevel="1" collapsed="false">
      <c r="A311" s="107"/>
      <c r="B311" s="108" t="s">
        <v>277</v>
      </c>
      <c r="C311" s="107" t="n">
        <v>220</v>
      </c>
      <c r="D311" s="107" t="s">
        <v>34</v>
      </c>
      <c r="E311" s="109" t="n">
        <v>170000</v>
      </c>
      <c r="F311" s="110" t="n">
        <f aca="false">C311*E311</f>
        <v>37400000</v>
      </c>
      <c r="G311" s="142" t="s">
        <v>271</v>
      </c>
      <c r="H311" s="143"/>
      <c r="I311" s="107"/>
      <c r="J311" s="108" t="s">
        <v>277</v>
      </c>
      <c r="K311" s="107" t="n">
        <v>560</v>
      </c>
      <c r="L311" s="107" t="s">
        <v>270</v>
      </c>
      <c r="M311" s="109" t="n">
        <v>152500</v>
      </c>
      <c r="N311" s="110" t="n">
        <f aca="false">K311*M311</f>
        <v>85400000</v>
      </c>
      <c r="O311" s="113"/>
      <c r="P311" s="114"/>
      <c r="Q311" s="114"/>
      <c r="R311" s="115" t="n">
        <f aca="false">F311-N311</f>
        <v>-48000000</v>
      </c>
      <c r="S311" s="219"/>
      <c r="T311" s="52" t="n">
        <f aca="false">N311-F311</f>
        <v>48000000</v>
      </c>
      <c r="V311" s="88" t="n">
        <v>7000</v>
      </c>
    </row>
    <row r="312" customFormat="false" ht="30" hidden="false" customHeight="true" outlineLevel="1" collapsed="false">
      <c r="A312" s="70" t="n">
        <v>523111</v>
      </c>
      <c r="B312" s="71" t="s">
        <v>268</v>
      </c>
      <c r="C312" s="70"/>
      <c r="D312" s="70"/>
      <c r="E312" s="72"/>
      <c r="F312" s="73" t="n">
        <f aca="false">SUM(F314:F316)</f>
        <v>304800000</v>
      </c>
      <c r="G312" s="74"/>
      <c r="H312" s="75"/>
      <c r="I312" s="70" t="n">
        <v>523111</v>
      </c>
      <c r="J312" s="71" t="s">
        <v>268</v>
      </c>
      <c r="K312" s="70"/>
      <c r="L312" s="70"/>
      <c r="M312" s="72"/>
      <c r="N312" s="73" t="n">
        <f aca="false">SUM(N314:N316)</f>
        <v>304800000</v>
      </c>
      <c r="O312" s="76"/>
      <c r="P312" s="18"/>
      <c r="Q312" s="18"/>
      <c r="R312" s="18"/>
      <c r="S312" s="17"/>
      <c r="T312" s="18"/>
      <c r="V312" s="27" t="n">
        <f aca="false">SUM(V314:V316)</f>
        <v>732000</v>
      </c>
    </row>
    <row r="313" customFormat="false" ht="30" hidden="false" customHeight="true" outlineLevel="1" collapsed="false">
      <c r="A313" s="70"/>
      <c r="B313" s="77" t="s">
        <v>32</v>
      </c>
      <c r="C313" s="70"/>
      <c r="D313" s="70"/>
      <c r="E313" s="72"/>
      <c r="F313" s="73"/>
      <c r="G313" s="74"/>
      <c r="H313" s="75"/>
      <c r="I313" s="70"/>
      <c r="J313" s="77" t="s">
        <v>32</v>
      </c>
      <c r="K313" s="70"/>
      <c r="L313" s="70"/>
      <c r="M313" s="72"/>
      <c r="N313" s="73"/>
      <c r="O313" s="78"/>
      <c r="P313" s="18"/>
      <c r="Q313" s="18"/>
      <c r="R313" s="18"/>
      <c r="S313" s="17"/>
      <c r="T313" s="18"/>
    </row>
    <row r="314" customFormat="false" ht="30" hidden="false" customHeight="true" outlineLevel="1" collapsed="false">
      <c r="A314" s="70"/>
      <c r="B314" s="77" t="s">
        <v>278</v>
      </c>
      <c r="C314" s="70" t="n">
        <v>1</v>
      </c>
      <c r="D314" s="70" t="s">
        <v>55</v>
      </c>
      <c r="E314" s="72" t="n">
        <v>176000000</v>
      </c>
      <c r="F314" s="73" t="n">
        <f aca="false">C314*E314</f>
        <v>176000000</v>
      </c>
      <c r="G314" s="98" t="s">
        <v>279</v>
      </c>
      <c r="H314" s="99"/>
      <c r="I314" s="70"/>
      <c r="J314" s="77" t="s">
        <v>278</v>
      </c>
      <c r="K314" s="70" t="n">
        <v>1</v>
      </c>
      <c r="L314" s="70" t="s">
        <v>55</v>
      </c>
      <c r="M314" s="72" t="n">
        <v>176000000</v>
      </c>
      <c r="N314" s="73" t="n">
        <f aca="false">K314*M314</f>
        <v>176000000</v>
      </c>
      <c r="O314" s="97"/>
      <c r="P314" s="16"/>
      <c r="Q314" s="16"/>
      <c r="R314" s="16"/>
      <c r="S314" s="87"/>
      <c r="T314" s="18"/>
      <c r="V314" s="88" t="n">
        <v>287000</v>
      </c>
    </row>
    <row r="315" customFormat="false" ht="30" hidden="false" customHeight="true" outlineLevel="1" collapsed="false">
      <c r="A315" s="70"/>
      <c r="B315" s="77" t="s">
        <v>280</v>
      </c>
      <c r="C315" s="70" t="n">
        <v>1</v>
      </c>
      <c r="D315" s="70" t="s">
        <v>55</v>
      </c>
      <c r="E315" s="72" t="n">
        <v>40000000</v>
      </c>
      <c r="F315" s="73" t="n">
        <f aca="false">C315*E315</f>
        <v>40000000</v>
      </c>
      <c r="G315" s="98" t="s">
        <v>279</v>
      </c>
      <c r="H315" s="99"/>
      <c r="I315" s="70"/>
      <c r="J315" s="77" t="s">
        <v>280</v>
      </c>
      <c r="K315" s="70" t="n">
        <v>1</v>
      </c>
      <c r="L315" s="70" t="s">
        <v>55</v>
      </c>
      <c r="M315" s="72" t="n">
        <v>40000000</v>
      </c>
      <c r="N315" s="73" t="n">
        <f aca="false">K315*M315</f>
        <v>40000000</v>
      </c>
      <c r="O315" s="97"/>
      <c r="P315" s="16"/>
      <c r="Q315" s="16"/>
      <c r="R315" s="16"/>
      <c r="S315" s="87"/>
      <c r="T315" s="18"/>
      <c r="V315" s="88" t="n">
        <v>0</v>
      </c>
    </row>
    <row r="316" customFormat="false" ht="30" hidden="false" customHeight="true" outlineLevel="1" collapsed="false">
      <c r="A316" s="70"/>
      <c r="B316" s="77" t="s">
        <v>281</v>
      </c>
      <c r="C316" s="70" t="n">
        <v>2</v>
      </c>
      <c r="D316" s="70" t="s">
        <v>55</v>
      </c>
      <c r="E316" s="72" t="n">
        <v>44400000</v>
      </c>
      <c r="F316" s="73" t="n">
        <f aca="false">C316*E316</f>
        <v>88800000</v>
      </c>
      <c r="G316" s="98" t="s">
        <v>279</v>
      </c>
      <c r="H316" s="99"/>
      <c r="I316" s="70"/>
      <c r="J316" s="77" t="s">
        <v>281</v>
      </c>
      <c r="K316" s="70" t="n">
        <v>2</v>
      </c>
      <c r="L316" s="70" t="s">
        <v>55</v>
      </c>
      <c r="M316" s="72" t="n">
        <v>44400000</v>
      </c>
      <c r="N316" s="73" t="n">
        <f aca="false">K316*M316</f>
        <v>88800000</v>
      </c>
      <c r="O316" s="97"/>
      <c r="P316" s="16"/>
      <c r="Q316" s="16"/>
      <c r="R316" s="16"/>
      <c r="S316" s="87"/>
      <c r="T316" s="18"/>
      <c r="V316" s="88" t="n">
        <v>445000</v>
      </c>
    </row>
    <row r="317" customFormat="false" ht="23.25" hidden="false" customHeight="true" outlineLevel="0" collapsed="false">
      <c r="A317" s="62" t="s">
        <v>61</v>
      </c>
      <c r="B317" s="63" t="s">
        <v>282</v>
      </c>
      <c r="C317" s="64"/>
      <c r="D317" s="64"/>
      <c r="E317" s="65"/>
      <c r="F317" s="66" t="n">
        <f aca="false">SUM(F318,F321)</f>
        <v>338607000</v>
      </c>
      <c r="G317" s="67"/>
      <c r="H317" s="48"/>
      <c r="I317" s="62" t="s">
        <v>61</v>
      </c>
      <c r="J317" s="63" t="s">
        <v>282</v>
      </c>
      <c r="K317" s="64"/>
      <c r="L317" s="64"/>
      <c r="M317" s="65"/>
      <c r="N317" s="66" t="n">
        <f aca="false">SUM(N318,N321)</f>
        <v>413607000</v>
      </c>
      <c r="O317" s="68"/>
      <c r="P317" s="69"/>
      <c r="Q317" s="69"/>
      <c r="R317" s="69"/>
      <c r="S317" s="17"/>
      <c r="T317" s="128"/>
      <c r="V317" s="27" t="n">
        <v>20743400</v>
      </c>
    </row>
    <row r="318" customFormat="false" ht="30" hidden="false" customHeight="true" outlineLevel="1" collapsed="false">
      <c r="A318" s="70" t="n">
        <v>523121</v>
      </c>
      <c r="B318" s="71" t="s">
        <v>57</v>
      </c>
      <c r="C318" s="70"/>
      <c r="D318" s="70"/>
      <c r="E318" s="72"/>
      <c r="F318" s="73" t="n">
        <f aca="false">SUM(F320)</f>
        <v>92005000</v>
      </c>
      <c r="G318" s="74"/>
      <c r="H318" s="75"/>
      <c r="I318" s="70" t="n">
        <v>523121</v>
      </c>
      <c r="J318" s="71" t="s">
        <v>57</v>
      </c>
      <c r="K318" s="70"/>
      <c r="L318" s="70"/>
      <c r="M318" s="72"/>
      <c r="N318" s="73" t="n">
        <f aca="false">SUM(N320)</f>
        <v>92005000</v>
      </c>
      <c r="O318" s="76"/>
      <c r="P318" s="18"/>
      <c r="Q318" s="18"/>
      <c r="R318" s="18"/>
      <c r="S318" s="17"/>
      <c r="T318" s="18"/>
      <c r="V318" s="27" t="n">
        <f aca="false">SUM(V320:V320)</f>
        <v>20326750</v>
      </c>
    </row>
    <row r="319" customFormat="false" ht="30" hidden="false" customHeight="true" outlineLevel="1" collapsed="false">
      <c r="A319" s="70"/>
      <c r="B319" s="77" t="s">
        <v>32</v>
      </c>
      <c r="C319" s="70"/>
      <c r="D319" s="70"/>
      <c r="E319" s="72"/>
      <c r="F319" s="73"/>
      <c r="G319" s="74"/>
      <c r="H319" s="75"/>
      <c r="I319" s="70"/>
      <c r="J319" s="77" t="s">
        <v>32</v>
      </c>
      <c r="K319" s="70"/>
      <c r="L319" s="70"/>
      <c r="M319" s="72"/>
      <c r="N319" s="73"/>
      <c r="O319" s="78"/>
      <c r="P319" s="18"/>
      <c r="Q319" s="18"/>
      <c r="R319" s="18"/>
      <c r="S319" s="17"/>
      <c r="T319" s="18"/>
    </row>
    <row r="320" customFormat="false" ht="30" hidden="false" customHeight="true" outlineLevel="1" collapsed="false">
      <c r="A320" s="211"/>
      <c r="B320" s="212" t="s">
        <v>283</v>
      </c>
      <c r="C320" s="211" t="n">
        <v>1</v>
      </c>
      <c r="D320" s="211" t="s">
        <v>55</v>
      </c>
      <c r="E320" s="213" t="n">
        <v>92005000</v>
      </c>
      <c r="F320" s="214" t="n">
        <f aca="false">C320*E320</f>
        <v>92005000</v>
      </c>
      <c r="G320" s="215" t="s">
        <v>271</v>
      </c>
      <c r="H320" s="216"/>
      <c r="I320" s="211"/>
      <c r="J320" s="212" t="s">
        <v>283</v>
      </c>
      <c r="K320" s="211" t="n">
        <v>1</v>
      </c>
      <c r="L320" s="211" t="s">
        <v>55</v>
      </c>
      <c r="M320" s="213" t="n">
        <v>92005000</v>
      </c>
      <c r="N320" s="214" t="n">
        <f aca="false">K320*M320</f>
        <v>92005000</v>
      </c>
      <c r="O320" s="217"/>
      <c r="P320" s="218"/>
      <c r="Q320" s="218"/>
      <c r="R320" s="218"/>
      <c r="S320" s="219"/>
      <c r="T320" s="218"/>
      <c r="V320" s="88" t="n">
        <v>20326750</v>
      </c>
    </row>
    <row r="321" customFormat="false" ht="30" hidden="false" customHeight="true" outlineLevel="1" collapsed="false">
      <c r="A321" s="70" t="n">
        <v>523121</v>
      </c>
      <c r="B321" s="71" t="s">
        <v>57</v>
      </c>
      <c r="C321" s="70"/>
      <c r="D321" s="70"/>
      <c r="E321" s="72"/>
      <c r="F321" s="73" t="n">
        <f aca="false">SUM(F322:F332)</f>
        <v>246602000</v>
      </c>
      <c r="G321" s="74" t="s">
        <v>279</v>
      </c>
      <c r="H321" s="75"/>
      <c r="I321" s="70" t="n">
        <v>523121</v>
      </c>
      <c r="J321" s="71" t="s">
        <v>57</v>
      </c>
      <c r="K321" s="70"/>
      <c r="L321" s="70"/>
      <c r="M321" s="72"/>
      <c r="N321" s="73" t="n">
        <f aca="false">SUM(N322:N332)</f>
        <v>321602000</v>
      </c>
      <c r="O321" s="76"/>
      <c r="P321" s="18"/>
      <c r="Q321" s="18"/>
      <c r="R321" s="18"/>
      <c r="S321" s="17"/>
      <c r="T321" s="18"/>
      <c r="V321" s="27" t="n">
        <f aca="false">SUM(V322:V332)</f>
        <v>416650</v>
      </c>
    </row>
    <row r="322" customFormat="false" ht="30" hidden="false" customHeight="true" outlineLevel="1" collapsed="false">
      <c r="A322" s="70"/>
      <c r="B322" s="77" t="s">
        <v>284</v>
      </c>
      <c r="C322" s="70" t="n">
        <v>15</v>
      </c>
      <c r="D322" s="70" t="s">
        <v>101</v>
      </c>
      <c r="E322" s="72" t="n">
        <v>966000</v>
      </c>
      <c r="F322" s="73" t="n">
        <f aca="false">C322*E322</f>
        <v>14490000</v>
      </c>
      <c r="G322" s="98"/>
      <c r="H322" s="99"/>
      <c r="I322" s="70"/>
      <c r="J322" s="77" t="s">
        <v>284</v>
      </c>
      <c r="K322" s="70" t="n">
        <v>15</v>
      </c>
      <c r="L322" s="70" t="s">
        <v>101</v>
      </c>
      <c r="M322" s="72" t="n">
        <v>966000</v>
      </c>
      <c r="N322" s="73" t="n">
        <f aca="false">K322*M322</f>
        <v>14490000</v>
      </c>
      <c r="O322" s="97"/>
      <c r="P322" s="16"/>
      <c r="Q322" s="16"/>
      <c r="R322" s="16"/>
      <c r="S322" s="87"/>
      <c r="T322" s="18"/>
      <c r="V322" s="88" t="n">
        <v>21150</v>
      </c>
    </row>
    <row r="323" customFormat="false" ht="30" hidden="false" customHeight="true" outlineLevel="1" collapsed="false">
      <c r="A323" s="70"/>
      <c r="B323" s="77" t="s">
        <v>285</v>
      </c>
      <c r="C323" s="70" t="n">
        <v>1</v>
      </c>
      <c r="D323" s="70" t="s">
        <v>55</v>
      </c>
      <c r="E323" s="72" t="n">
        <v>13200000</v>
      </c>
      <c r="F323" s="73" t="n">
        <f aca="false">C323*E323</f>
        <v>13200000</v>
      </c>
      <c r="G323" s="98"/>
      <c r="H323" s="99"/>
      <c r="I323" s="70"/>
      <c r="J323" s="77" t="s">
        <v>285</v>
      </c>
      <c r="K323" s="70" t="n">
        <v>1</v>
      </c>
      <c r="L323" s="70" t="s">
        <v>55</v>
      </c>
      <c r="M323" s="72" t="n">
        <v>13200000</v>
      </c>
      <c r="N323" s="73" t="n">
        <f aca="false">K323*M323</f>
        <v>13200000</v>
      </c>
      <c r="O323" s="97"/>
      <c r="P323" s="16"/>
      <c r="Q323" s="16"/>
      <c r="R323" s="16"/>
      <c r="S323" s="87"/>
      <c r="T323" s="18"/>
      <c r="V323" s="88" t="n">
        <v>46500</v>
      </c>
    </row>
    <row r="324" customFormat="false" ht="30" hidden="false" customHeight="true" outlineLevel="1" collapsed="false">
      <c r="A324" s="70"/>
      <c r="B324" s="77" t="s">
        <v>286</v>
      </c>
      <c r="C324" s="70" t="n">
        <v>46</v>
      </c>
      <c r="D324" s="70" t="s">
        <v>287</v>
      </c>
      <c r="E324" s="72" t="n">
        <v>350000</v>
      </c>
      <c r="F324" s="73" t="n">
        <f aca="false">C324*E324</f>
        <v>16100000</v>
      </c>
      <c r="G324" s="98"/>
      <c r="H324" s="99"/>
      <c r="I324" s="70"/>
      <c r="J324" s="77" t="s">
        <v>286</v>
      </c>
      <c r="K324" s="70" t="n">
        <v>46</v>
      </c>
      <c r="L324" s="70" t="s">
        <v>287</v>
      </c>
      <c r="M324" s="72" t="n">
        <v>350000</v>
      </c>
      <c r="N324" s="73" t="n">
        <f aca="false">K324*M324</f>
        <v>16100000</v>
      </c>
      <c r="O324" s="97"/>
      <c r="P324" s="16"/>
      <c r="Q324" s="16"/>
      <c r="R324" s="16"/>
      <c r="S324" s="87"/>
      <c r="T324" s="18"/>
      <c r="V324" s="88" t="n">
        <v>88250</v>
      </c>
    </row>
    <row r="325" customFormat="false" ht="30" hidden="false" customHeight="true" outlineLevel="1" collapsed="false">
      <c r="A325" s="107"/>
      <c r="B325" s="108" t="s">
        <v>288</v>
      </c>
      <c r="C325" s="107" t="n">
        <v>67</v>
      </c>
      <c r="D325" s="107" t="s">
        <v>289</v>
      </c>
      <c r="E325" s="109" t="n">
        <v>80000</v>
      </c>
      <c r="F325" s="110" t="n">
        <f aca="false">C325*E325</f>
        <v>5360000</v>
      </c>
      <c r="G325" s="142"/>
      <c r="H325" s="143"/>
      <c r="I325" s="107"/>
      <c r="J325" s="108" t="s">
        <v>290</v>
      </c>
      <c r="K325" s="107" t="n">
        <v>1</v>
      </c>
      <c r="L325" s="107" t="s">
        <v>34</v>
      </c>
      <c r="M325" s="109" t="n">
        <v>50360000</v>
      </c>
      <c r="N325" s="110" t="n">
        <f aca="false">K325*M325</f>
        <v>50360000</v>
      </c>
      <c r="O325" s="113"/>
      <c r="P325" s="114"/>
      <c r="Q325" s="114"/>
      <c r="R325" s="115" t="n">
        <f aca="false">F325-N325</f>
        <v>-45000000</v>
      </c>
      <c r="S325" s="87"/>
      <c r="T325" s="52" t="n">
        <f aca="false">N325-F325</f>
        <v>45000000</v>
      </c>
      <c r="V325" s="88" t="n">
        <v>0</v>
      </c>
    </row>
    <row r="326" customFormat="false" ht="30" hidden="false" customHeight="true" outlineLevel="1" collapsed="false">
      <c r="A326" s="70"/>
      <c r="B326" s="77" t="s">
        <v>291</v>
      </c>
      <c r="C326" s="70" t="n">
        <v>43</v>
      </c>
      <c r="D326" s="70" t="s">
        <v>287</v>
      </c>
      <c r="E326" s="72" t="n">
        <v>730000</v>
      </c>
      <c r="F326" s="73" t="n">
        <f aca="false">C326*E326</f>
        <v>31390000</v>
      </c>
      <c r="G326" s="98"/>
      <c r="H326" s="99"/>
      <c r="I326" s="70"/>
      <c r="J326" s="77" t="s">
        <v>291</v>
      </c>
      <c r="K326" s="70" t="n">
        <v>43</v>
      </c>
      <c r="L326" s="70" t="s">
        <v>287</v>
      </c>
      <c r="M326" s="72" t="n">
        <v>730000</v>
      </c>
      <c r="N326" s="73" t="n">
        <f aca="false">K326*M326</f>
        <v>31390000</v>
      </c>
      <c r="O326" s="97"/>
      <c r="P326" s="16"/>
      <c r="Q326" s="16"/>
      <c r="R326" s="16"/>
      <c r="S326" s="87"/>
      <c r="T326" s="18"/>
      <c r="V326" s="88" t="n">
        <v>0</v>
      </c>
    </row>
    <row r="327" customFormat="false" ht="30" hidden="false" customHeight="true" outlineLevel="1" collapsed="false">
      <c r="A327" s="70"/>
      <c r="B327" s="77" t="s">
        <v>292</v>
      </c>
      <c r="C327" s="70" t="n">
        <v>30</v>
      </c>
      <c r="D327" s="70" t="s">
        <v>287</v>
      </c>
      <c r="E327" s="72" t="n">
        <v>730000</v>
      </c>
      <c r="F327" s="73" t="n">
        <f aca="false">C327*E327</f>
        <v>21900000</v>
      </c>
      <c r="G327" s="98"/>
      <c r="H327" s="99"/>
      <c r="I327" s="70"/>
      <c r="J327" s="77" t="s">
        <v>292</v>
      </c>
      <c r="K327" s="70" t="n">
        <v>30</v>
      </c>
      <c r="L327" s="70" t="s">
        <v>287</v>
      </c>
      <c r="M327" s="72" t="n">
        <v>730000</v>
      </c>
      <c r="N327" s="73" t="n">
        <f aca="false">K327*M327</f>
        <v>21900000</v>
      </c>
      <c r="O327" s="97"/>
      <c r="P327" s="16"/>
      <c r="Q327" s="16"/>
      <c r="R327" s="16"/>
      <c r="S327" s="87"/>
      <c r="T327" s="18"/>
      <c r="V327" s="88" t="n">
        <v>0</v>
      </c>
    </row>
    <row r="328" customFormat="false" ht="30" hidden="false" customHeight="true" outlineLevel="1" collapsed="false">
      <c r="A328" s="70"/>
      <c r="B328" s="77" t="s">
        <v>293</v>
      </c>
      <c r="C328" s="70" t="n">
        <v>1</v>
      </c>
      <c r="D328" s="70" t="s">
        <v>287</v>
      </c>
      <c r="E328" s="72" t="n">
        <v>730000</v>
      </c>
      <c r="F328" s="73" t="n">
        <f aca="false">C328*E328</f>
        <v>730000</v>
      </c>
      <c r="G328" s="98"/>
      <c r="H328" s="99"/>
      <c r="I328" s="70"/>
      <c r="J328" s="77" t="s">
        <v>293</v>
      </c>
      <c r="K328" s="70" t="n">
        <v>1</v>
      </c>
      <c r="L328" s="70" t="s">
        <v>287</v>
      </c>
      <c r="M328" s="72" t="n">
        <v>730000</v>
      </c>
      <c r="N328" s="73" t="n">
        <f aca="false">K328*M328</f>
        <v>730000</v>
      </c>
      <c r="O328" s="97"/>
      <c r="P328" s="16"/>
      <c r="Q328" s="16"/>
      <c r="R328" s="16"/>
      <c r="S328" s="87"/>
      <c r="T328" s="18"/>
      <c r="V328" s="88" t="n">
        <v>0</v>
      </c>
    </row>
    <row r="329" customFormat="false" ht="30" hidden="false" customHeight="true" outlineLevel="1" collapsed="false">
      <c r="A329" s="70"/>
      <c r="B329" s="77" t="s">
        <v>294</v>
      </c>
      <c r="C329" s="70" t="n">
        <v>32</v>
      </c>
      <c r="D329" s="70" t="s">
        <v>287</v>
      </c>
      <c r="E329" s="72" t="n">
        <v>690000</v>
      </c>
      <c r="F329" s="73" t="n">
        <f aca="false">C329*E329</f>
        <v>22080000</v>
      </c>
      <c r="G329" s="98"/>
      <c r="H329" s="99"/>
      <c r="I329" s="70"/>
      <c r="J329" s="77" t="s">
        <v>294</v>
      </c>
      <c r="K329" s="70" t="n">
        <v>32</v>
      </c>
      <c r="L329" s="70" t="s">
        <v>287</v>
      </c>
      <c r="M329" s="72" t="n">
        <v>690000</v>
      </c>
      <c r="N329" s="73" t="n">
        <f aca="false">K329*M329</f>
        <v>22080000</v>
      </c>
      <c r="O329" s="97"/>
      <c r="P329" s="16"/>
      <c r="Q329" s="16"/>
      <c r="R329" s="16"/>
      <c r="S329" s="87"/>
      <c r="T329" s="18"/>
      <c r="V329" s="88" t="n">
        <v>0</v>
      </c>
    </row>
    <row r="330" customFormat="false" ht="30" hidden="false" customHeight="true" outlineLevel="1" collapsed="false">
      <c r="A330" s="70"/>
      <c r="B330" s="77" t="s">
        <v>295</v>
      </c>
      <c r="C330" s="70" t="n">
        <v>10</v>
      </c>
      <c r="D330" s="70" t="s">
        <v>287</v>
      </c>
      <c r="E330" s="72" t="n">
        <v>690000</v>
      </c>
      <c r="F330" s="73" t="n">
        <f aca="false">C330*E330</f>
        <v>6900000</v>
      </c>
      <c r="G330" s="98"/>
      <c r="H330" s="99"/>
      <c r="I330" s="70"/>
      <c r="J330" s="77" t="s">
        <v>295</v>
      </c>
      <c r="K330" s="70" t="n">
        <v>10</v>
      </c>
      <c r="L330" s="70" t="s">
        <v>287</v>
      </c>
      <c r="M330" s="72" t="n">
        <v>690000</v>
      </c>
      <c r="N330" s="73" t="n">
        <f aca="false">K330*M330</f>
        <v>6900000</v>
      </c>
      <c r="O330" s="97"/>
      <c r="P330" s="16"/>
      <c r="Q330" s="16"/>
      <c r="R330" s="16"/>
      <c r="S330" s="87"/>
      <c r="T330" s="18"/>
      <c r="V330" s="88" t="n">
        <v>0</v>
      </c>
    </row>
    <row r="331" customFormat="false" ht="30" hidden="false" customHeight="true" outlineLevel="1" collapsed="false">
      <c r="A331" s="107"/>
      <c r="B331" s="108" t="s">
        <v>296</v>
      </c>
      <c r="C331" s="107" t="n">
        <v>4</v>
      </c>
      <c r="D331" s="107" t="s">
        <v>287</v>
      </c>
      <c r="E331" s="109" t="n">
        <v>7190000</v>
      </c>
      <c r="F331" s="110" t="n">
        <f aca="false">C331*E331</f>
        <v>28760000</v>
      </c>
      <c r="G331" s="142"/>
      <c r="H331" s="143"/>
      <c r="I331" s="107"/>
      <c r="J331" s="108" t="s">
        <v>296</v>
      </c>
      <c r="K331" s="107" t="n">
        <v>1</v>
      </c>
      <c r="L331" s="107" t="s">
        <v>34</v>
      </c>
      <c r="M331" s="109" t="n">
        <v>58760000</v>
      </c>
      <c r="N331" s="110" t="n">
        <f aca="false">K331*M331</f>
        <v>58760000</v>
      </c>
      <c r="O331" s="113"/>
      <c r="P331" s="114"/>
      <c r="Q331" s="114"/>
      <c r="R331" s="115" t="n">
        <f aca="false">F331-N331</f>
        <v>-30000000</v>
      </c>
      <c r="S331" s="87"/>
      <c r="T331" s="52" t="n">
        <f aca="false">N331-F331</f>
        <v>30000000</v>
      </c>
      <c r="V331" s="88" t="n">
        <v>38750</v>
      </c>
    </row>
    <row r="332" customFormat="false" ht="30" hidden="false" customHeight="true" outlineLevel="1" collapsed="false">
      <c r="A332" s="70"/>
      <c r="B332" s="77" t="s">
        <v>297</v>
      </c>
      <c r="C332" s="70" t="n">
        <v>1</v>
      </c>
      <c r="D332" s="70" t="s">
        <v>55</v>
      </c>
      <c r="E332" s="72" t="n">
        <v>85692000</v>
      </c>
      <c r="F332" s="73" t="n">
        <f aca="false">C332*E332</f>
        <v>85692000</v>
      </c>
      <c r="G332" s="98"/>
      <c r="H332" s="99"/>
      <c r="I332" s="70"/>
      <c r="J332" s="77" t="s">
        <v>297</v>
      </c>
      <c r="K332" s="70" t="n">
        <v>1</v>
      </c>
      <c r="L332" s="70" t="s">
        <v>55</v>
      </c>
      <c r="M332" s="72" t="n">
        <v>85692000</v>
      </c>
      <c r="N332" s="73" t="n">
        <f aca="false">K332*M332</f>
        <v>85692000</v>
      </c>
      <c r="O332" s="97"/>
      <c r="P332" s="16"/>
      <c r="Q332" s="16"/>
      <c r="R332" s="16"/>
      <c r="S332" s="87"/>
      <c r="T332" s="18"/>
      <c r="V332" s="88" t="n">
        <v>222000</v>
      </c>
    </row>
    <row r="333" customFormat="false" ht="23.25" hidden="false" customHeight="true" outlineLevel="0" collapsed="false">
      <c r="A333" s="62" t="s">
        <v>45</v>
      </c>
      <c r="B333" s="63" t="s">
        <v>298</v>
      </c>
      <c r="C333" s="64"/>
      <c r="D333" s="64"/>
      <c r="E333" s="65"/>
      <c r="F333" s="66" t="n">
        <f aca="false">SUM(F334)</f>
        <v>34790000</v>
      </c>
      <c r="G333" s="67"/>
      <c r="H333" s="48"/>
      <c r="I333" s="62" t="s">
        <v>45</v>
      </c>
      <c r="J333" s="63" t="s">
        <v>298</v>
      </c>
      <c r="K333" s="64"/>
      <c r="L333" s="64"/>
      <c r="M333" s="65"/>
      <c r="N333" s="66" t="n">
        <f aca="false">SUM(N334)</f>
        <v>34790000</v>
      </c>
      <c r="O333" s="68"/>
      <c r="P333" s="69"/>
      <c r="Q333" s="69"/>
      <c r="R333" s="69"/>
      <c r="S333" s="17"/>
      <c r="T333" s="18"/>
      <c r="V333" s="27" t="n">
        <v>23267305</v>
      </c>
    </row>
    <row r="334" customFormat="false" ht="30" hidden="false" customHeight="true" outlineLevel="1" collapsed="false">
      <c r="A334" s="70" t="n">
        <v>523121</v>
      </c>
      <c r="B334" s="71" t="s">
        <v>57</v>
      </c>
      <c r="C334" s="70"/>
      <c r="D334" s="70"/>
      <c r="E334" s="72"/>
      <c r="F334" s="73" t="n">
        <f aca="false">SUM(F336)</f>
        <v>34790000</v>
      </c>
      <c r="G334" s="74"/>
      <c r="H334" s="75"/>
      <c r="I334" s="70" t="n">
        <v>523121</v>
      </c>
      <c r="J334" s="71" t="s">
        <v>57</v>
      </c>
      <c r="K334" s="70"/>
      <c r="L334" s="70"/>
      <c r="M334" s="72"/>
      <c r="N334" s="73" t="n">
        <f aca="false">SUM(N336)</f>
        <v>34790000</v>
      </c>
      <c r="O334" s="76"/>
      <c r="P334" s="18"/>
      <c r="Q334" s="18"/>
      <c r="R334" s="18"/>
      <c r="S334" s="17"/>
      <c r="T334" s="18"/>
      <c r="V334" s="27" t="n">
        <v>23267305</v>
      </c>
    </row>
    <row r="335" customFormat="false" ht="30" hidden="false" customHeight="true" outlineLevel="1" collapsed="false">
      <c r="A335" s="70"/>
      <c r="B335" s="77" t="s">
        <v>32</v>
      </c>
      <c r="C335" s="70"/>
      <c r="D335" s="70"/>
      <c r="E335" s="72"/>
      <c r="F335" s="73"/>
      <c r="G335" s="74"/>
      <c r="H335" s="75"/>
      <c r="I335" s="70"/>
      <c r="J335" s="77" t="s">
        <v>32</v>
      </c>
      <c r="K335" s="70"/>
      <c r="L335" s="70"/>
      <c r="M335" s="72"/>
      <c r="N335" s="73"/>
      <c r="O335" s="78"/>
      <c r="P335" s="18"/>
      <c r="Q335" s="18"/>
      <c r="R335" s="18"/>
      <c r="S335" s="17"/>
      <c r="T335" s="18"/>
    </row>
    <row r="336" customFormat="false" ht="30" hidden="false" customHeight="true" outlineLevel="1" collapsed="false">
      <c r="A336" s="70"/>
      <c r="B336" s="77" t="s">
        <v>299</v>
      </c>
      <c r="C336" s="70" t="n">
        <v>7</v>
      </c>
      <c r="D336" s="70" t="s">
        <v>101</v>
      </c>
      <c r="E336" s="72" t="n">
        <v>4970000</v>
      </c>
      <c r="F336" s="73" t="n">
        <f aca="false">C336*E336</f>
        <v>34790000</v>
      </c>
      <c r="G336" s="98"/>
      <c r="H336" s="99"/>
      <c r="I336" s="70"/>
      <c r="J336" s="77" t="s">
        <v>299</v>
      </c>
      <c r="K336" s="70" t="n">
        <v>7</v>
      </c>
      <c r="L336" s="70" t="s">
        <v>101</v>
      </c>
      <c r="M336" s="72" t="n">
        <v>4970000</v>
      </c>
      <c r="N336" s="73" t="n">
        <f aca="false">K336*M336</f>
        <v>34790000</v>
      </c>
      <c r="O336" s="97"/>
      <c r="P336" s="16"/>
      <c r="Q336" s="16"/>
      <c r="R336" s="16"/>
      <c r="S336" s="87"/>
      <c r="T336" s="18"/>
      <c r="V336" s="88" t="n">
        <v>23267305</v>
      </c>
    </row>
    <row r="337" customFormat="false" ht="23.25" hidden="false" customHeight="true" outlineLevel="0" collapsed="false">
      <c r="A337" s="62" t="s">
        <v>300</v>
      </c>
      <c r="B337" s="63" t="s">
        <v>301</v>
      </c>
      <c r="C337" s="64"/>
      <c r="D337" s="64"/>
      <c r="E337" s="65"/>
      <c r="F337" s="66" t="n">
        <f aca="false">SUM(F338)</f>
        <v>387036000</v>
      </c>
      <c r="G337" s="67"/>
      <c r="H337" s="48"/>
      <c r="I337" s="62" t="s">
        <v>300</v>
      </c>
      <c r="J337" s="63" t="s">
        <v>301</v>
      </c>
      <c r="K337" s="64"/>
      <c r="L337" s="64"/>
      <c r="M337" s="65"/>
      <c r="N337" s="66" t="n">
        <f aca="false">SUM(N338)</f>
        <v>402036000</v>
      </c>
      <c r="O337" s="68"/>
      <c r="P337" s="69"/>
      <c r="Q337" s="69"/>
      <c r="R337" s="69"/>
      <c r="S337" s="17"/>
      <c r="T337" s="18"/>
      <c r="V337" s="27" t="n">
        <v>115567458</v>
      </c>
    </row>
    <row r="338" customFormat="false" ht="30" hidden="false" customHeight="true" outlineLevel="1" collapsed="false">
      <c r="A338" s="70" t="n">
        <v>523121</v>
      </c>
      <c r="B338" s="71" t="s">
        <v>57</v>
      </c>
      <c r="C338" s="70"/>
      <c r="D338" s="70"/>
      <c r="E338" s="72"/>
      <c r="F338" s="73" t="n">
        <f aca="false">SUM(F340:F342)</f>
        <v>387036000</v>
      </c>
      <c r="G338" s="74"/>
      <c r="H338" s="75"/>
      <c r="I338" s="70" t="n">
        <v>523121</v>
      </c>
      <c r="J338" s="71" t="s">
        <v>57</v>
      </c>
      <c r="K338" s="70"/>
      <c r="L338" s="70"/>
      <c r="M338" s="72"/>
      <c r="N338" s="73" t="n">
        <f aca="false">SUM(N340:N342)</f>
        <v>402036000</v>
      </c>
      <c r="O338" s="76"/>
      <c r="P338" s="18"/>
      <c r="Q338" s="18"/>
      <c r="R338" s="18"/>
      <c r="S338" s="17"/>
      <c r="T338" s="18"/>
      <c r="V338" s="27" t="n">
        <v>115567458</v>
      </c>
    </row>
    <row r="339" customFormat="false" ht="30" hidden="false" customHeight="true" outlineLevel="1" collapsed="false">
      <c r="A339" s="70"/>
      <c r="B339" s="77" t="s">
        <v>32</v>
      </c>
      <c r="C339" s="70"/>
      <c r="D339" s="70"/>
      <c r="E339" s="72"/>
      <c r="F339" s="73"/>
      <c r="G339" s="74"/>
      <c r="H339" s="75"/>
      <c r="I339" s="70"/>
      <c r="J339" s="77" t="s">
        <v>32</v>
      </c>
      <c r="K339" s="70"/>
      <c r="L339" s="70"/>
      <c r="M339" s="72"/>
      <c r="N339" s="73"/>
      <c r="O339" s="78"/>
      <c r="P339" s="18"/>
      <c r="Q339" s="18"/>
      <c r="R339" s="18"/>
      <c r="S339" s="17"/>
      <c r="T339" s="18"/>
    </row>
    <row r="340" customFormat="false" ht="30" hidden="false" customHeight="true" outlineLevel="1" collapsed="false">
      <c r="A340" s="70"/>
      <c r="B340" s="77" t="s">
        <v>302</v>
      </c>
      <c r="C340" s="70" t="n">
        <v>1</v>
      </c>
      <c r="D340" s="70" t="s">
        <v>287</v>
      </c>
      <c r="E340" s="72" t="n">
        <v>42370000</v>
      </c>
      <c r="F340" s="73" t="n">
        <f aca="false">C340*E340</f>
        <v>42370000</v>
      </c>
      <c r="G340" s="98"/>
      <c r="H340" s="99"/>
      <c r="I340" s="70"/>
      <c r="J340" s="77" t="s">
        <v>302</v>
      </c>
      <c r="K340" s="70" t="n">
        <v>1</v>
      </c>
      <c r="L340" s="70" t="s">
        <v>287</v>
      </c>
      <c r="M340" s="72" t="n">
        <v>42370000</v>
      </c>
      <c r="N340" s="73" t="n">
        <f aca="false">K340*M340</f>
        <v>42370000</v>
      </c>
      <c r="O340" s="97"/>
      <c r="P340" s="16"/>
      <c r="Q340" s="16"/>
      <c r="R340" s="16"/>
      <c r="S340" s="87"/>
      <c r="T340" s="18"/>
      <c r="V340" s="88" t="n">
        <v>11784808</v>
      </c>
    </row>
    <row r="341" customFormat="false" ht="30" hidden="false" customHeight="true" outlineLevel="1" collapsed="false">
      <c r="A341" s="107"/>
      <c r="B341" s="108" t="s">
        <v>303</v>
      </c>
      <c r="C341" s="107" t="n">
        <v>5</v>
      </c>
      <c r="D341" s="107" t="s">
        <v>287</v>
      </c>
      <c r="E341" s="109" t="n">
        <v>45155200</v>
      </c>
      <c r="F341" s="110" t="n">
        <f aca="false">C341*E341</f>
        <v>225776000</v>
      </c>
      <c r="G341" s="142"/>
      <c r="H341" s="143"/>
      <c r="I341" s="107"/>
      <c r="J341" s="108" t="s">
        <v>303</v>
      </c>
      <c r="K341" s="107" t="n">
        <v>1</v>
      </c>
      <c r="L341" s="107" t="s">
        <v>34</v>
      </c>
      <c r="M341" s="109" t="n">
        <v>240776000</v>
      </c>
      <c r="N341" s="110" t="n">
        <f aca="false">K341*M341</f>
        <v>240776000</v>
      </c>
      <c r="O341" s="113"/>
      <c r="P341" s="114"/>
      <c r="Q341" s="114"/>
      <c r="R341" s="115" t="n">
        <f aca="false">F341-N341</f>
        <v>-15000000</v>
      </c>
      <c r="S341" s="87"/>
      <c r="T341" s="52" t="n">
        <f aca="false">N341-F341</f>
        <v>15000000</v>
      </c>
      <c r="V341" s="88" t="n">
        <v>25368800</v>
      </c>
    </row>
    <row r="342" customFormat="false" ht="30" hidden="false" customHeight="true" outlineLevel="1" collapsed="false">
      <c r="A342" s="70"/>
      <c r="B342" s="77" t="s">
        <v>304</v>
      </c>
      <c r="C342" s="70" t="n">
        <v>3</v>
      </c>
      <c r="D342" s="70" t="s">
        <v>287</v>
      </c>
      <c r="E342" s="72" t="n">
        <v>39630000</v>
      </c>
      <c r="F342" s="73" t="n">
        <f aca="false">C342*E342</f>
        <v>118890000</v>
      </c>
      <c r="G342" s="98"/>
      <c r="H342" s="99"/>
      <c r="I342" s="70"/>
      <c r="J342" s="77" t="s">
        <v>304</v>
      </c>
      <c r="K342" s="70" t="n">
        <v>3</v>
      </c>
      <c r="L342" s="70" t="s">
        <v>287</v>
      </c>
      <c r="M342" s="72" t="n">
        <v>39630000</v>
      </c>
      <c r="N342" s="73" t="n">
        <f aca="false">K342*M342</f>
        <v>118890000</v>
      </c>
      <c r="O342" s="97"/>
      <c r="P342" s="16"/>
      <c r="Q342" s="16"/>
      <c r="R342" s="16"/>
      <c r="S342" s="87"/>
      <c r="T342" s="18"/>
      <c r="V342" s="88" t="n">
        <v>78413850</v>
      </c>
    </row>
    <row r="343" customFormat="false" ht="23.25" hidden="false" customHeight="true" outlineLevel="0" collapsed="false">
      <c r="A343" s="62" t="s">
        <v>96</v>
      </c>
      <c r="B343" s="63" t="s">
        <v>305</v>
      </c>
      <c r="C343" s="64"/>
      <c r="D343" s="64"/>
      <c r="E343" s="65"/>
      <c r="F343" s="66" t="n">
        <f aca="false">SUM(F344,F348)</f>
        <v>577400000</v>
      </c>
      <c r="G343" s="67"/>
      <c r="H343" s="48"/>
      <c r="I343" s="62" t="s">
        <v>96</v>
      </c>
      <c r="J343" s="63" t="s">
        <v>305</v>
      </c>
      <c r="K343" s="64"/>
      <c r="L343" s="64"/>
      <c r="M343" s="65"/>
      <c r="N343" s="66" t="n">
        <f aca="false">SUM(N344,N348)</f>
        <v>472880000</v>
      </c>
      <c r="O343" s="68"/>
      <c r="P343" s="69"/>
      <c r="Q343" s="69"/>
      <c r="R343" s="69"/>
      <c r="S343" s="17"/>
      <c r="T343" s="18"/>
      <c r="V343" s="27" t="n">
        <v>226252986</v>
      </c>
    </row>
    <row r="344" customFormat="false" ht="30" hidden="false" customHeight="true" outlineLevel="1" collapsed="false">
      <c r="A344" s="70" t="n">
        <v>521111</v>
      </c>
      <c r="B344" s="71" t="s">
        <v>306</v>
      </c>
      <c r="C344" s="70"/>
      <c r="D344" s="70"/>
      <c r="E344" s="72"/>
      <c r="F344" s="73" t="n">
        <f aca="false">SUM(F346:F347)</f>
        <v>479000000</v>
      </c>
      <c r="G344" s="74"/>
      <c r="H344" s="75"/>
      <c r="I344" s="70" t="n">
        <v>521111</v>
      </c>
      <c r="J344" s="71" t="s">
        <v>306</v>
      </c>
      <c r="K344" s="70"/>
      <c r="L344" s="70"/>
      <c r="M344" s="72"/>
      <c r="N344" s="73" t="n">
        <f aca="false">SUM(N346:N347)</f>
        <v>374480000</v>
      </c>
      <c r="O344" s="76"/>
      <c r="P344" s="18"/>
      <c r="Q344" s="18"/>
      <c r="R344" s="18"/>
      <c r="S344" s="17"/>
      <c r="T344" s="18"/>
      <c r="V344" s="27" t="n">
        <v>193019000</v>
      </c>
    </row>
    <row r="345" customFormat="false" ht="30" hidden="false" customHeight="true" outlineLevel="1" collapsed="false">
      <c r="A345" s="70"/>
      <c r="B345" s="77" t="s">
        <v>32</v>
      </c>
      <c r="C345" s="70"/>
      <c r="D345" s="70"/>
      <c r="E345" s="72"/>
      <c r="F345" s="73"/>
      <c r="G345" s="74"/>
      <c r="H345" s="75"/>
      <c r="I345" s="70"/>
      <c r="J345" s="77" t="s">
        <v>32</v>
      </c>
      <c r="K345" s="70"/>
      <c r="L345" s="70"/>
      <c r="M345" s="72"/>
      <c r="N345" s="73"/>
      <c r="O345" s="78"/>
      <c r="P345" s="18"/>
      <c r="Q345" s="18"/>
      <c r="R345" s="18"/>
      <c r="S345" s="17"/>
      <c r="T345" s="18"/>
    </row>
    <row r="346" customFormat="false" ht="30" hidden="false" customHeight="true" outlineLevel="1" collapsed="false">
      <c r="A346" s="79"/>
      <c r="B346" s="80" t="s">
        <v>307</v>
      </c>
      <c r="C346" s="79" t="n">
        <f aca="false">4*13</f>
        <v>52</v>
      </c>
      <c r="D346" s="79" t="s">
        <v>308</v>
      </c>
      <c r="E346" s="100" t="n">
        <v>7250000</v>
      </c>
      <c r="F346" s="81" t="n">
        <f aca="false">C346*E346</f>
        <v>377000000</v>
      </c>
      <c r="G346" s="82" t="s">
        <v>279</v>
      </c>
      <c r="H346" s="83"/>
      <c r="I346" s="79"/>
      <c r="J346" s="80" t="s">
        <v>307</v>
      </c>
      <c r="K346" s="79" t="n">
        <f aca="false">4*13</f>
        <v>52</v>
      </c>
      <c r="L346" s="79" t="s">
        <v>308</v>
      </c>
      <c r="M346" s="100" t="n">
        <v>5240000</v>
      </c>
      <c r="N346" s="81" t="n">
        <f aca="false">K346*M346</f>
        <v>272480000</v>
      </c>
      <c r="O346" s="84"/>
      <c r="P346" s="105"/>
      <c r="Q346" s="105"/>
      <c r="R346" s="188" t="n">
        <f aca="false">F346-N346</f>
        <v>104520000</v>
      </c>
      <c r="S346" s="102"/>
      <c r="T346" s="52" t="n">
        <f aca="false">N346-F346</f>
        <v>-104520000</v>
      </c>
      <c r="V346" s="88" t="n">
        <v>167519000</v>
      </c>
    </row>
    <row r="347" customFormat="false" ht="30" hidden="false" customHeight="true" outlineLevel="1" collapsed="false">
      <c r="A347" s="70"/>
      <c r="B347" s="77" t="s">
        <v>309</v>
      </c>
      <c r="C347" s="70" t="n">
        <v>12</v>
      </c>
      <c r="D347" s="70" t="s">
        <v>69</v>
      </c>
      <c r="E347" s="72" t="n">
        <v>8500000</v>
      </c>
      <c r="F347" s="73" t="n">
        <f aca="false">C347*E347</f>
        <v>102000000</v>
      </c>
      <c r="G347" s="98"/>
      <c r="H347" s="99"/>
      <c r="I347" s="70"/>
      <c r="J347" s="77" t="s">
        <v>309</v>
      </c>
      <c r="K347" s="70" t="n">
        <v>12</v>
      </c>
      <c r="L347" s="70" t="s">
        <v>69</v>
      </c>
      <c r="M347" s="72" t="n">
        <v>8500000</v>
      </c>
      <c r="N347" s="73" t="n">
        <f aca="false">K347*M347</f>
        <v>102000000</v>
      </c>
      <c r="O347" s="97"/>
      <c r="P347" s="16"/>
      <c r="Q347" s="16"/>
      <c r="R347" s="16"/>
      <c r="S347" s="87"/>
      <c r="T347" s="18"/>
      <c r="V347" s="88" t="n">
        <v>25500000</v>
      </c>
    </row>
    <row r="348" customFormat="false" ht="30" hidden="false" customHeight="true" outlineLevel="1" collapsed="false">
      <c r="A348" s="70" t="n">
        <v>522141</v>
      </c>
      <c r="B348" s="71" t="s">
        <v>79</v>
      </c>
      <c r="C348" s="70"/>
      <c r="D348" s="70"/>
      <c r="E348" s="72"/>
      <c r="F348" s="73" t="n">
        <f aca="false">SUM(F350:F351)</f>
        <v>98400000</v>
      </c>
      <c r="G348" s="74"/>
      <c r="H348" s="75"/>
      <c r="I348" s="70" t="n">
        <v>522141</v>
      </c>
      <c r="J348" s="71" t="s">
        <v>79</v>
      </c>
      <c r="K348" s="70"/>
      <c r="L348" s="70"/>
      <c r="M348" s="72"/>
      <c r="N348" s="73" t="n">
        <f aca="false">SUM(N350:N351)</f>
        <v>98400000</v>
      </c>
      <c r="O348" s="76"/>
      <c r="P348" s="18"/>
      <c r="Q348" s="18"/>
      <c r="R348" s="18"/>
      <c r="S348" s="17"/>
      <c r="T348" s="18"/>
      <c r="V348" s="27" t="n">
        <v>33233986</v>
      </c>
    </row>
    <row r="349" customFormat="false" ht="30" hidden="false" customHeight="true" outlineLevel="1" collapsed="false">
      <c r="A349" s="70"/>
      <c r="B349" s="77" t="s">
        <v>32</v>
      </c>
      <c r="C349" s="70"/>
      <c r="D349" s="70"/>
      <c r="E349" s="72"/>
      <c r="F349" s="73"/>
      <c r="G349" s="74"/>
      <c r="H349" s="75"/>
      <c r="I349" s="70"/>
      <c r="J349" s="77" t="s">
        <v>32</v>
      </c>
      <c r="K349" s="70"/>
      <c r="L349" s="70"/>
      <c r="M349" s="72"/>
      <c r="N349" s="73"/>
      <c r="O349" s="78"/>
      <c r="P349" s="18"/>
      <c r="Q349" s="18"/>
      <c r="R349" s="18"/>
      <c r="S349" s="17"/>
      <c r="T349" s="18"/>
    </row>
    <row r="350" customFormat="false" ht="30" hidden="false" customHeight="true" outlineLevel="1" collapsed="false">
      <c r="A350" s="70"/>
      <c r="B350" s="77" t="s">
        <v>310</v>
      </c>
      <c r="C350" s="70" t="n">
        <v>12</v>
      </c>
      <c r="D350" s="70" t="s">
        <v>69</v>
      </c>
      <c r="E350" s="72" t="n">
        <v>7000000</v>
      </c>
      <c r="F350" s="73" t="n">
        <f aca="false">C350*E350</f>
        <v>84000000</v>
      </c>
      <c r="G350" s="98"/>
      <c r="H350" s="99"/>
      <c r="I350" s="70"/>
      <c r="J350" s="77" t="s">
        <v>310</v>
      </c>
      <c r="K350" s="70" t="n">
        <v>12</v>
      </c>
      <c r="L350" s="70" t="s">
        <v>69</v>
      </c>
      <c r="M350" s="72" t="n">
        <v>7000000</v>
      </c>
      <c r="N350" s="73" t="n">
        <f aca="false">K350*M350</f>
        <v>84000000</v>
      </c>
      <c r="O350" s="97"/>
      <c r="P350" s="16"/>
      <c r="Q350" s="16"/>
      <c r="R350" s="16"/>
      <c r="S350" s="87"/>
      <c r="T350" s="18"/>
      <c r="V350" s="88" t="n">
        <v>28000000</v>
      </c>
    </row>
    <row r="351" customFormat="false" ht="30" hidden="false" customHeight="true" outlineLevel="1" collapsed="false">
      <c r="A351" s="70"/>
      <c r="B351" s="77" t="s">
        <v>311</v>
      </c>
      <c r="C351" s="70" t="n">
        <f aca="false">10*12</f>
        <v>120</v>
      </c>
      <c r="D351" s="70" t="s">
        <v>312</v>
      </c>
      <c r="E351" s="72" t="n">
        <v>120000</v>
      </c>
      <c r="F351" s="73" t="n">
        <f aca="false">C351*E351</f>
        <v>14400000</v>
      </c>
      <c r="G351" s="98"/>
      <c r="H351" s="99"/>
      <c r="I351" s="70"/>
      <c r="J351" s="77" t="s">
        <v>311</v>
      </c>
      <c r="K351" s="70" t="n">
        <f aca="false">10*12</f>
        <v>120</v>
      </c>
      <c r="L351" s="70" t="s">
        <v>312</v>
      </c>
      <c r="M351" s="72" t="n">
        <v>120000</v>
      </c>
      <c r="N351" s="73" t="n">
        <f aca="false">K351*M351</f>
        <v>14400000</v>
      </c>
      <c r="O351" s="97"/>
      <c r="P351" s="16"/>
      <c r="Q351" s="16"/>
      <c r="R351" s="16"/>
      <c r="S351" s="87"/>
      <c r="T351" s="18"/>
      <c r="V351" s="88" t="n">
        <v>5233986</v>
      </c>
    </row>
    <row r="352" customFormat="false" ht="23.25" hidden="false" customHeight="true" outlineLevel="0" collapsed="false">
      <c r="A352" s="62" t="s">
        <v>109</v>
      </c>
      <c r="B352" s="63" t="s">
        <v>313</v>
      </c>
      <c r="C352" s="64"/>
      <c r="D352" s="64"/>
      <c r="E352" s="65"/>
      <c r="F352" s="66" t="n">
        <f aca="false">SUM(F353,F356,F360,F371,F376,F403,F406)</f>
        <v>2322422000</v>
      </c>
      <c r="G352" s="67"/>
      <c r="H352" s="48"/>
      <c r="I352" s="62" t="s">
        <v>109</v>
      </c>
      <c r="J352" s="63" t="s">
        <v>313</v>
      </c>
      <c r="K352" s="64"/>
      <c r="L352" s="64"/>
      <c r="M352" s="65"/>
      <c r="N352" s="66" t="n">
        <f aca="false">SUM(N353,N356,N360,N371,N376,N403,N406)</f>
        <v>2322942000</v>
      </c>
      <c r="O352" s="68"/>
      <c r="P352" s="69"/>
      <c r="Q352" s="69"/>
      <c r="R352" s="69"/>
      <c r="S352" s="17"/>
      <c r="T352" s="18"/>
      <c r="V352" s="27" t="n">
        <v>494500164</v>
      </c>
    </row>
    <row r="353" customFormat="false" ht="30" hidden="false" customHeight="true" outlineLevel="1" collapsed="false">
      <c r="A353" s="70" t="n">
        <v>521111</v>
      </c>
      <c r="B353" s="71" t="s">
        <v>306</v>
      </c>
      <c r="C353" s="70"/>
      <c r="D353" s="70"/>
      <c r="E353" s="72"/>
      <c r="F353" s="73" t="n">
        <f aca="false">SUM(F355)</f>
        <v>101840000</v>
      </c>
      <c r="G353" s="74"/>
      <c r="H353" s="75"/>
      <c r="I353" s="70" t="n">
        <v>521111</v>
      </c>
      <c r="J353" s="71" t="s">
        <v>306</v>
      </c>
      <c r="K353" s="70"/>
      <c r="L353" s="70"/>
      <c r="M353" s="72"/>
      <c r="N353" s="73" t="n">
        <f aca="false">SUM(N355)</f>
        <v>114610000</v>
      </c>
      <c r="O353" s="76"/>
      <c r="P353" s="18"/>
      <c r="Q353" s="18"/>
      <c r="R353" s="18"/>
      <c r="S353" s="17"/>
      <c r="T353" s="18"/>
      <c r="V353" s="27" t="n">
        <v>49781934</v>
      </c>
    </row>
    <row r="354" customFormat="false" ht="30" hidden="false" customHeight="true" outlineLevel="1" collapsed="false">
      <c r="A354" s="70"/>
      <c r="B354" s="77" t="s">
        <v>32</v>
      </c>
      <c r="C354" s="70"/>
      <c r="D354" s="70"/>
      <c r="E354" s="72"/>
      <c r="F354" s="73"/>
      <c r="G354" s="74"/>
      <c r="H354" s="75"/>
      <c r="I354" s="70"/>
      <c r="J354" s="77" t="s">
        <v>32</v>
      </c>
      <c r="K354" s="70"/>
      <c r="L354" s="70"/>
      <c r="M354" s="72"/>
      <c r="N354" s="73"/>
      <c r="O354" s="78"/>
      <c r="P354" s="18"/>
      <c r="Q354" s="18"/>
      <c r="R354" s="18"/>
      <c r="S354" s="17"/>
      <c r="T354" s="18"/>
    </row>
    <row r="355" customFormat="false" ht="30" hidden="false" customHeight="true" outlineLevel="1" collapsed="false">
      <c r="A355" s="107"/>
      <c r="B355" s="108" t="s">
        <v>314</v>
      </c>
      <c r="C355" s="107" t="n">
        <f aca="false">67*1</f>
        <v>67</v>
      </c>
      <c r="D355" s="107" t="s">
        <v>289</v>
      </c>
      <c r="E355" s="109" t="n">
        <v>1520000</v>
      </c>
      <c r="F355" s="110" t="n">
        <f aca="false">C355*E355</f>
        <v>101840000</v>
      </c>
      <c r="G355" s="142"/>
      <c r="H355" s="143"/>
      <c r="I355" s="107"/>
      <c r="J355" s="108" t="s">
        <v>315</v>
      </c>
      <c r="K355" s="107" t="n">
        <v>1</v>
      </c>
      <c r="L355" s="107" t="s">
        <v>34</v>
      </c>
      <c r="M355" s="109" t="n">
        <v>114610000</v>
      </c>
      <c r="N355" s="110" t="n">
        <f aca="false">K355*M355</f>
        <v>114610000</v>
      </c>
      <c r="O355" s="113"/>
      <c r="P355" s="114"/>
      <c r="Q355" s="114"/>
      <c r="R355" s="115" t="n">
        <f aca="false">F355-N355</f>
        <v>-12770000</v>
      </c>
      <c r="S355" s="220"/>
      <c r="T355" s="52" t="n">
        <f aca="false">N355-F355</f>
        <v>12770000</v>
      </c>
      <c r="V355" s="88" t="n">
        <v>49781934</v>
      </c>
    </row>
    <row r="356" customFormat="false" ht="30" hidden="false" customHeight="true" outlineLevel="1" collapsed="false">
      <c r="A356" s="70" t="n">
        <v>521114</v>
      </c>
      <c r="B356" s="71" t="s">
        <v>316</v>
      </c>
      <c r="C356" s="70"/>
      <c r="D356" s="70"/>
      <c r="E356" s="72"/>
      <c r="F356" s="73" t="n">
        <f aca="false">SUM(F358:F359)</f>
        <v>19500000</v>
      </c>
      <c r="G356" s="74"/>
      <c r="H356" s="75"/>
      <c r="I356" s="70" t="n">
        <v>521114</v>
      </c>
      <c r="J356" s="71" t="s">
        <v>316</v>
      </c>
      <c r="K356" s="70"/>
      <c r="L356" s="70"/>
      <c r="M356" s="72"/>
      <c r="N356" s="73" t="n">
        <f aca="false">SUM(N358:N359)</f>
        <v>19500000</v>
      </c>
      <c r="O356" s="76"/>
      <c r="P356" s="18"/>
      <c r="Q356" s="18"/>
      <c r="R356" s="18"/>
      <c r="S356" s="17"/>
      <c r="T356" s="18"/>
      <c r="V356" s="27" t="n">
        <v>14198925</v>
      </c>
    </row>
    <row r="357" customFormat="false" ht="30" hidden="false" customHeight="true" outlineLevel="1" collapsed="false">
      <c r="A357" s="70"/>
      <c r="B357" s="77" t="s">
        <v>32</v>
      </c>
      <c r="C357" s="70"/>
      <c r="D357" s="70"/>
      <c r="E357" s="72"/>
      <c r="F357" s="73"/>
      <c r="G357" s="74"/>
      <c r="H357" s="75"/>
      <c r="I357" s="70"/>
      <c r="J357" s="77" t="s">
        <v>32</v>
      </c>
      <c r="K357" s="70"/>
      <c r="L357" s="70"/>
      <c r="M357" s="72"/>
      <c r="N357" s="73"/>
      <c r="O357" s="78"/>
      <c r="P357" s="18"/>
      <c r="Q357" s="18"/>
      <c r="R357" s="18"/>
      <c r="S357" s="17"/>
      <c r="T357" s="18"/>
    </row>
    <row r="358" customFormat="false" ht="30" hidden="false" customHeight="true" outlineLevel="1" collapsed="false">
      <c r="A358" s="70"/>
      <c r="B358" s="77" t="s">
        <v>317</v>
      </c>
      <c r="C358" s="70" t="n">
        <f aca="false">12*50</f>
        <v>600</v>
      </c>
      <c r="D358" s="70" t="s">
        <v>318</v>
      </c>
      <c r="E358" s="72" t="n">
        <v>20000</v>
      </c>
      <c r="F358" s="73" t="n">
        <f aca="false">C358*E358</f>
        <v>12000000</v>
      </c>
      <c r="G358" s="98"/>
      <c r="H358" s="99"/>
      <c r="I358" s="70"/>
      <c r="J358" s="77" t="s">
        <v>317</v>
      </c>
      <c r="K358" s="70" t="n">
        <f aca="false">12*50</f>
        <v>600</v>
      </c>
      <c r="L358" s="70" t="s">
        <v>318</v>
      </c>
      <c r="M358" s="72" t="n">
        <v>20000</v>
      </c>
      <c r="N358" s="73" t="n">
        <f aca="false">K358*M358</f>
        <v>12000000</v>
      </c>
      <c r="O358" s="97"/>
      <c r="P358" s="16"/>
      <c r="Q358" s="16"/>
      <c r="R358" s="16"/>
      <c r="S358" s="87"/>
      <c r="T358" s="18"/>
      <c r="V358" s="88" t="n">
        <v>11842500</v>
      </c>
    </row>
    <row r="359" customFormat="false" ht="30" hidden="false" customHeight="true" outlineLevel="1" collapsed="false">
      <c r="A359" s="70"/>
      <c r="B359" s="77" t="s">
        <v>319</v>
      </c>
      <c r="C359" s="70" t="n">
        <v>500</v>
      </c>
      <c r="D359" s="70" t="s">
        <v>318</v>
      </c>
      <c r="E359" s="72" t="n">
        <v>15000</v>
      </c>
      <c r="F359" s="73" t="n">
        <f aca="false">C359*E359</f>
        <v>7500000</v>
      </c>
      <c r="G359" s="98"/>
      <c r="H359" s="99"/>
      <c r="I359" s="70"/>
      <c r="J359" s="77" t="s">
        <v>319</v>
      </c>
      <c r="K359" s="70" t="n">
        <v>500</v>
      </c>
      <c r="L359" s="70" t="s">
        <v>318</v>
      </c>
      <c r="M359" s="72" t="n">
        <v>15000</v>
      </c>
      <c r="N359" s="73" t="n">
        <f aca="false">K359*M359</f>
        <v>7500000</v>
      </c>
      <c r="O359" s="97"/>
      <c r="P359" s="16"/>
      <c r="Q359" s="16"/>
      <c r="R359" s="16"/>
      <c r="S359" s="87"/>
      <c r="T359" s="18"/>
      <c r="V359" s="88" t="n">
        <v>2356425</v>
      </c>
    </row>
    <row r="360" customFormat="false" ht="30" hidden="false" customHeight="true" outlineLevel="1" collapsed="false">
      <c r="A360" s="70" t="n">
        <v>521115</v>
      </c>
      <c r="B360" s="71" t="s">
        <v>31</v>
      </c>
      <c r="C360" s="70"/>
      <c r="D360" s="70"/>
      <c r="E360" s="72"/>
      <c r="F360" s="73" t="n">
        <f aca="false">SUM(F362:F370)</f>
        <v>117360000</v>
      </c>
      <c r="G360" s="74"/>
      <c r="H360" s="75"/>
      <c r="I360" s="70" t="n">
        <v>521115</v>
      </c>
      <c r="J360" s="71" t="s">
        <v>31</v>
      </c>
      <c r="K360" s="70"/>
      <c r="L360" s="70"/>
      <c r="M360" s="72"/>
      <c r="N360" s="73" t="n">
        <f aca="false">SUM(N362:N370)</f>
        <v>112110000</v>
      </c>
      <c r="O360" s="76"/>
      <c r="P360" s="18"/>
      <c r="Q360" s="18"/>
      <c r="R360" s="18"/>
      <c r="S360" s="17"/>
      <c r="T360" s="18"/>
      <c r="V360" s="27" t="n">
        <v>44370000</v>
      </c>
    </row>
    <row r="361" customFormat="false" ht="30" hidden="false" customHeight="true" outlineLevel="1" collapsed="false">
      <c r="A361" s="70"/>
      <c r="B361" s="77" t="s">
        <v>32</v>
      </c>
      <c r="C361" s="70"/>
      <c r="D361" s="70"/>
      <c r="E361" s="72"/>
      <c r="F361" s="73"/>
      <c r="G361" s="74"/>
      <c r="H361" s="75"/>
      <c r="I361" s="70"/>
      <c r="J361" s="77" t="s">
        <v>32</v>
      </c>
      <c r="K361" s="70"/>
      <c r="L361" s="70"/>
      <c r="M361" s="72"/>
      <c r="N361" s="73"/>
      <c r="O361" s="78"/>
      <c r="P361" s="18"/>
      <c r="Q361" s="18"/>
      <c r="R361" s="18"/>
      <c r="S361" s="17"/>
      <c r="T361" s="18"/>
    </row>
    <row r="362" customFormat="false" ht="30" hidden="false" customHeight="true" outlineLevel="1" collapsed="false">
      <c r="A362" s="70"/>
      <c r="B362" s="77" t="s">
        <v>320</v>
      </c>
      <c r="C362" s="70" t="n">
        <f aca="false">1*12</f>
        <v>12</v>
      </c>
      <c r="D362" s="70" t="s">
        <v>308</v>
      </c>
      <c r="E362" s="72" t="n">
        <v>1800000</v>
      </c>
      <c r="F362" s="73" t="n">
        <f aca="false">C362*E362</f>
        <v>21600000</v>
      </c>
      <c r="G362" s="98"/>
      <c r="H362" s="99"/>
      <c r="I362" s="70"/>
      <c r="J362" s="77" t="s">
        <v>320</v>
      </c>
      <c r="K362" s="70" t="n">
        <f aca="false">1*12</f>
        <v>12</v>
      </c>
      <c r="L362" s="70" t="s">
        <v>308</v>
      </c>
      <c r="M362" s="72" t="n">
        <v>1800000</v>
      </c>
      <c r="N362" s="73" t="n">
        <f aca="false">K362*M362</f>
        <v>21600000</v>
      </c>
      <c r="O362" s="97"/>
      <c r="P362" s="16"/>
      <c r="Q362" s="16"/>
      <c r="R362" s="16"/>
      <c r="S362" s="87"/>
      <c r="T362" s="18"/>
      <c r="V362" s="88" t="n">
        <v>7200000</v>
      </c>
    </row>
    <row r="363" customFormat="false" ht="30" hidden="false" customHeight="true" outlineLevel="1" collapsed="false">
      <c r="A363" s="79"/>
      <c r="B363" s="80" t="s">
        <v>321</v>
      </c>
      <c r="C363" s="79" t="n">
        <f aca="false">1*12</f>
        <v>12</v>
      </c>
      <c r="D363" s="79" t="s">
        <v>308</v>
      </c>
      <c r="E363" s="100" t="n">
        <v>1750000</v>
      </c>
      <c r="F363" s="81" t="n">
        <f aca="false">C363*E363</f>
        <v>21000000</v>
      </c>
      <c r="G363" s="82" t="s">
        <v>279</v>
      </c>
      <c r="H363" s="83"/>
      <c r="I363" s="79"/>
      <c r="J363" s="80" t="s">
        <v>322</v>
      </c>
      <c r="K363" s="79" t="n">
        <v>1</v>
      </c>
      <c r="L363" s="79" t="s">
        <v>55</v>
      </c>
      <c r="M363" s="100" t="n">
        <v>15750000</v>
      </c>
      <c r="N363" s="81" t="n">
        <f aca="false">K363*M363</f>
        <v>15750000</v>
      </c>
      <c r="O363" s="84"/>
      <c r="P363" s="105"/>
      <c r="Q363" s="105"/>
      <c r="R363" s="188" t="n">
        <f aca="false">F363-N363</f>
        <v>5250000</v>
      </c>
      <c r="S363" s="102"/>
      <c r="T363" s="52" t="n">
        <f aca="false">N363-F363</f>
        <v>-5250000</v>
      </c>
      <c r="V363" s="88" t="n">
        <v>12250000</v>
      </c>
    </row>
    <row r="364" customFormat="false" ht="30" hidden="false" customHeight="true" outlineLevel="1" collapsed="false">
      <c r="A364" s="70"/>
      <c r="B364" s="77" t="s">
        <v>323</v>
      </c>
      <c r="C364" s="70" t="n">
        <f aca="false">1*12</f>
        <v>12</v>
      </c>
      <c r="D364" s="70" t="s">
        <v>308</v>
      </c>
      <c r="E364" s="72" t="n">
        <v>750000</v>
      </c>
      <c r="F364" s="73" t="n">
        <f aca="false">C364*E364</f>
        <v>9000000</v>
      </c>
      <c r="G364" s="98"/>
      <c r="H364" s="99"/>
      <c r="I364" s="70"/>
      <c r="J364" s="77" t="s">
        <v>323</v>
      </c>
      <c r="K364" s="70" t="n">
        <f aca="false">1*12</f>
        <v>12</v>
      </c>
      <c r="L364" s="70" t="s">
        <v>308</v>
      </c>
      <c r="M364" s="72" t="n">
        <v>750000</v>
      </c>
      <c r="N364" s="73" t="n">
        <f aca="false">K364*M364</f>
        <v>9000000</v>
      </c>
      <c r="O364" s="97"/>
      <c r="P364" s="16"/>
      <c r="Q364" s="16"/>
      <c r="R364" s="16"/>
      <c r="S364" s="87"/>
      <c r="T364" s="18"/>
      <c r="V364" s="88" t="n">
        <v>3000000</v>
      </c>
    </row>
    <row r="365" customFormat="false" ht="30" hidden="false" customHeight="true" outlineLevel="1" collapsed="false">
      <c r="A365" s="70"/>
      <c r="B365" s="77" t="s">
        <v>324</v>
      </c>
      <c r="C365" s="70" t="n">
        <f aca="false">1*12</f>
        <v>12</v>
      </c>
      <c r="D365" s="70" t="s">
        <v>308</v>
      </c>
      <c r="E365" s="72" t="n">
        <v>660000</v>
      </c>
      <c r="F365" s="73" t="n">
        <f aca="false">C365*E365</f>
        <v>7920000</v>
      </c>
      <c r="G365" s="98"/>
      <c r="H365" s="99"/>
      <c r="I365" s="70"/>
      <c r="J365" s="77" t="s">
        <v>324</v>
      </c>
      <c r="K365" s="70" t="n">
        <f aca="false">1*12</f>
        <v>12</v>
      </c>
      <c r="L365" s="70" t="s">
        <v>308</v>
      </c>
      <c r="M365" s="72" t="n">
        <v>660000</v>
      </c>
      <c r="N365" s="73" t="n">
        <f aca="false">K365*M365</f>
        <v>7920000</v>
      </c>
      <c r="O365" s="97"/>
      <c r="P365" s="16"/>
      <c r="Q365" s="16"/>
      <c r="R365" s="16"/>
      <c r="S365" s="87"/>
      <c r="T365" s="18"/>
      <c r="V365" s="88" t="n">
        <v>2640000</v>
      </c>
    </row>
    <row r="366" customFormat="false" ht="30" hidden="false" customHeight="true" outlineLevel="1" collapsed="false">
      <c r="A366" s="70"/>
      <c r="B366" s="77" t="s">
        <v>325</v>
      </c>
      <c r="C366" s="70" t="n">
        <f aca="false">3*12</f>
        <v>36</v>
      </c>
      <c r="D366" s="70" t="s">
        <v>308</v>
      </c>
      <c r="E366" s="72" t="n">
        <v>490000</v>
      </c>
      <c r="F366" s="73" t="n">
        <f aca="false">C366*E366</f>
        <v>17640000</v>
      </c>
      <c r="G366" s="98"/>
      <c r="H366" s="99"/>
      <c r="I366" s="70"/>
      <c r="J366" s="77" t="s">
        <v>325</v>
      </c>
      <c r="K366" s="70" t="n">
        <f aca="false">3*12</f>
        <v>36</v>
      </c>
      <c r="L366" s="70" t="s">
        <v>308</v>
      </c>
      <c r="M366" s="72" t="n">
        <v>490000</v>
      </c>
      <c r="N366" s="73" t="n">
        <f aca="false">K366*M366</f>
        <v>17640000</v>
      </c>
      <c r="O366" s="97"/>
      <c r="P366" s="16"/>
      <c r="Q366" s="16"/>
      <c r="R366" s="16"/>
      <c r="S366" s="87"/>
      <c r="T366" s="18"/>
      <c r="V366" s="88" t="n">
        <v>5880000</v>
      </c>
    </row>
    <row r="367" customFormat="false" ht="30" hidden="false" customHeight="true" outlineLevel="1" collapsed="false">
      <c r="A367" s="70"/>
      <c r="B367" s="77" t="s">
        <v>326</v>
      </c>
      <c r="C367" s="70" t="n">
        <f aca="false">1*12</f>
        <v>12</v>
      </c>
      <c r="D367" s="70" t="s">
        <v>308</v>
      </c>
      <c r="E367" s="72" t="n">
        <v>200000</v>
      </c>
      <c r="F367" s="73" t="n">
        <f aca="false">C367*E367</f>
        <v>2400000</v>
      </c>
      <c r="G367" s="98"/>
      <c r="H367" s="99"/>
      <c r="I367" s="70"/>
      <c r="J367" s="77" t="s">
        <v>326</v>
      </c>
      <c r="K367" s="70" t="n">
        <f aca="false">1*12</f>
        <v>12</v>
      </c>
      <c r="L367" s="70" t="s">
        <v>308</v>
      </c>
      <c r="M367" s="72" t="n">
        <v>200000</v>
      </c>
      <c r="N367" s="73" t="n">
        <f aca="false">K367*M367</f>
        <v>2400000</v>
      </c>
      <c r="O367" s="97"/>
      <c r="P367" s="16"/>
      <c r="Q367" s="16"/>
      <c r="R367" s="16"/>
      <c r="S367" s="87"/>
      <c r="T367" s="18"/>
      <c r="V367" s="88" t="n">
        <v>800000</v>
      </c>
    </row>
    <row r="368" customFormat="false" ht="30" hidden="false" customHeight="true" outlineLevel="1" collapsed="false">
      <c r="A368" s="70"/>
      <c r="B368" s="77" t="s">
        <v>327</v>
      </c>
      <c r="C368" s="70" t="n">
        <f aca="false">5*12</f>
        <v>60</v>
      </c>
      <c r="D368" s="70" t="s">
        <v>308</v>
      </c>
      <c r="E368" s="72" t="n">
        <v>150000</v>
      </c>
      <c r="F368" s="73" t="n">
        <f aca="false">C368*E368</f>
        <v>9000000</v>
      </c>
      <c r="G368" s="98"/>
      <c r="H368" s="99"/>
      <c r="I368" s="70"/>
      <c r="J368" s="77" t="s">
        <v>327</v>
      </c>
      <c r="K368" s="70" t="n">
        <f aca="false">5*12</f>
        <v>60</v>
      </c>
      <c r="L368" s="70" t="s">
        <v>308</v>
      </c>
      <c r="M368" s="72" t="n">
        <v>150000</v>
      </c>
      <c r="N368" s="73" t="n">
        <f aca="false">K368*M368</f>
        <v>9000000</v>
      </c>
      <c r="O368" s="97"/>
      <c r="P368" s="16"/>
      <c r="Q368" s="16"/>
      <c r="R368" s="16"/>
      <c r="S368" s="87"/>
      <c r="T368" s="18"/>
      <c r="V368" s="88" t="n">
        <v>3000000</v>
      </c>
    </row>
    <row r="369" customFormat="false" ht="30" hidden="false" customHeight="true" outlineLevel="1" collapsed="false">
      <c r="A369" s="70"/>
      <c r="B369" s="77" t="s">
        <v>328</v>
      </c>
      <c r="C369" s="70" t="n">
        <f aca="false">3*12</f>
        <v>36</v>
      </c>
      <c r="D369" s="70" t="s">
        <v>308</v>
      </c>
      <c r="E369" s="72" t="n">
        <v>680000</v>
      </c>
      <c r="F369" s="73" t="n">
        <f aca="false">C369*E369</f>
        <v>24480000</v>
      </c>
      <c r="G369" s="98"/>
      <c r="H369" s="99"/>
      <c r="I369" s="70"/>
      <c r="J369" s="77" t="s">
        <v>328</v>
      </c>
      <c r="K369" s="70" t="n">
        <f aca="false">3*12</f>
        <v>36</v>
      </c>
      <c r="L369" s="70" t="s">
        <v>308</v>
      </c>
      <c r="M369" s="72" t="n">
        <v>680000</v>
      </c>
      <c r="N369" s="73" t="n">
        <f aca="false">K369*M369</f>
        <v>24480000</v>
      </c>
      <c r="O369" s="97"/>
      <c r="P369" s="16"/>
      <c r="Q369" s="16"/>
      <c r="R369" s="16"/>
      <c r="S369" s="87"/>
      <c r="T369" s="18"/>
      <c r="V369" s="88" t="n">
        <v>8160000</v>
      </c>
    </row>
    <row r="370" customFormat="false" ht="30" hidden="false" customHeight="true" outlineLevel="1" collapsed="false">
      <c r="A370" s="70"/>
      <c r="B370" s="77" t="s">
        <v>329</v>
      </c>
      <c r="C370" s="70" t="n">
        <f aca="false">2*12</f>
        <v>24</v>
      </c>
      <c r="D370" s="70" t="s">
        <v>308</v>
      </c>
      <c r="E370" s="72" t="n">
        <v>180000</v>
      </c>
      <c r="F370" s="73" t="n">
        <f aca="false">C370*E370</f>
        <v>4320000</v>
      </c>
      <c r="G370" s="98"/>
      <c r="H370" s="99"/>
      <c r="I370" s="70"/>
      <c r="J370" s="77" t="s">
        <v>329</v>
      </c>
      <c r="K370" s="70" t="n">
        <f aca="false">2*12</f>
        <v>24</v>
      </c>
      <c r="L370" s="70" t="s">
        <v>308</v>
      </c>
      <c r="M370" s="72" t="n">
        <v>180000</v>
      </c>
      <c r="N370" s="73" t="n">
        <f aca="false">K370*M370</f>
        <v>4320000</v>
      </c>
      <c r="O370" s="97"/>
      <c r="P370" s="16"/>
      <c r="Q370" s="16"/>
      <c r="R370" s="16"/>
      <c r="S370" s="87"/>
      <c r="T370" s="18"/>
      <c r="V370" s="88" t="n">
        <v>1440000</v>
      </c>
    </row>
    <row r="371" customFormat="false" ht="30" hidden="false" customHeight="true" outlineLevel="1" collapsed="false">
      <c r="A371" s="70" t="n">
        <v>521811</v>
      </c>
      <c r="B371" s="71" t="s">
        <v>330</v>
      </c>
      <c r="C371" s="70"/>
      <c r="D371" s="70"/>
      <c r="E371" s="72"/>
      <c r="F371" s="73" t="n">
        <f aca="false">SUM(F373:F375)</f>
        <v>153700000</v>
      </c>
      <c r="G371" s="74"/>
      <c r="H371" s="75"/>
      <c r="I371" s="70" t="n">
        <v>521811</v>
      </c>
      <c r="J371" s="71" t="s">
        <v>330</v>
      </c>
      <c r="K371" s="70"/>
      <c r="L371" s="70"/>
      <c r="M371" s="72"/>
      <c r="N371" s="73" t="n">
        <f aca="false">SUM(N373:N375)</f>
        <v>153700000</v>
      </c>
      <c r="O371" s="76"/>
      <c r="P371" s="18"/>
      <c r="Q371" s="18"/>
      <c r="R371" s="18"/>
      <c r="S371" s="17"/>
      <c r="T371" s="18"/>
      <c r="V371" s="27" t="n">
        <v>33074500</v>
      </c>
    </row>
    <row r="372" customFormat="false" ht="30" hidden="false" customHeight="true" outlineLevel="1" collapsed="false">
      <c r="A372" s="70"/>
      <c r="B372" s="77" t="s">
        <v>32</v>
      </c>
      <c r="C372" s="70"/>
      <c r="D372" s="70"/>
      <c r="E372" s="72"/>
      <c r="F372" s="73"/>
      <c r="G372" s="74"/>
      <c r="H372" s="75"/>
      <c r="I372" s="70"/>
      <c r="J372" s="77" t="s">
        <v>32</v>
      </c>
      <c r="K372" s="70"/>
      <c r="L372" s="70"/>
      <c r="M372" s="72"/>
      <c r="N372" s="73"/>
      <c r="O372" s="78"/>
      <c r="P372" s="18"/>
      <c r="Q372" s="18"/>
      <c r="R372" s="18"/>
      <c r="S372" s="17"/>
      <c r="T372" s="18"/>
    </row>
    <row r="373" customFormat="false" ht="30" hidden="false" customHeight="true" outlineLevel="1" collapsed="false">
      <c r="A373" s="70"/>
      <c r="B373" s="77" t="s">
        <v>331</v>
      </c>
      <c r="C373" s="70" t="n">
        <v>1</v>
      </c>
      <c r="D373" s="70" t="s">
        <v>34</v>
      </c>
      <c r="E373" s="72" t="n">
        <v>51158000</v>
      </c>
      <c r="F373" s="73" t="n">
        <f aca="false">C373*E373</f>
        <v>51158000</v>
      </c>
      <c r="G373" s="98"/>
      <c r="H373" s="99"/>
      <c r="I373" s="70"/>
      <c r="J373" s="77" t="s">
        <v>331</v>
      </c>
      <c r="K373" s="70" t="n">
        <v>1</v>
      </c>
      <c r="L373" s="70" t="s">
        <v>34</v>
      </c>
      <c r="M373" s="72" t="n">
        <v>51158000</v>
      </c>
      <c r="N373" s="73" t="n">
        <f aca="false">K373*M373</f>
        <v>51158000</v>
      </c>
      <c r="O373" s="97"/>
      <c r="P373" s="16"/>
      <c r="Q373" s="16"/>
      <c r="R373" s="16"/>
      <c r="S373" s="87"/>
      <c r="T373" s="18"/>
      <c r="V373" s="88" t="n">
        <v>15718000</v>
      </c>
    </row>
    <row r="374" customFormat="false" ht="30" hidden="false" customHeight="true" outlineLevel="1" collapsed="false">
      <c r="A374" s="70"/>
      <c r="B374" s="77" t="s">
        <v>332</v>
      </c>
      <c r="C374" s="70" t="n">
        <v>1</v>
      </c>
      <c r="D374" s="70" t="s">
        <v>55</v>
      </c>
      <c r="E374" s="72" t="n">
        <v>10000000</v>
      </c>
      <c r="F374" s="73" t="n">
        <f aca="false">C374*E374</f>
        <v>10000000</v>
      </c>
      <c r="G374" s="98"/>
      <c r="H374" s="99"/>
      <c r="I374" s="70"/>
      <c r="J374" s="77" t="s">
        <v>332</v>
      </c>
      <c r="K374" s="70" t="n">
        <v>1</v>
      </c>
      <c r="L374" s="70" t="s">
        <v>55</v>
      </c>
      <c r="M374" s="72" t="n">
        <v>10000000</v>
      </c>
      <c r="N374" s="73" t="n">
        <f aca="false">K374*M374</f>
        <v>10000000</v>
      </c>
      <c r="O374" s="97"/>
      <c r="P374" s="16"/>
      <c r="Q374" s="16"/>
      <c r="R374" s="16"/>
      <c r="S374" s="87"/>
      <c r="T374" s="18"/>
      <c r="V374" s="88" t="n">
        <v>20000</v>
      </c>
    </row>
    <row r="375" customFormat="false" ht="30" hidden="false" customHeight="true" outlineLevel="1" collapsed="false">
      <c r="A375" s="70"/>
      <c r="B375" s="77" t="s">
        <v>333</v>
      </c>
      <c r="C375" s="70" t="n">
        <v>1</v>
      </c>
      <c r="D375" s="70" t="s">
        <v>55</v>
      </c>
      <c r="E375" s="72" t="n">
        <v>92542000</v>
      </c>
      <c r="F375" s="73" t="n">
        <f aca="false">C375*E375</f>
        <v>92542000</v>
      </c>
      <c r="G375" s="98"/>
      <c r="H375" s="99"/>
      <c r="I375" s="70"/>
      <c r="J375" s="77" t="s">
        <v>333</v>
      </c>
      <c r="K375" s="70" t="n">
        <v>1</v>
      </c>
      <c r="L375" s="70" t="s">
        <v>55</v>
      </c>
      <c r="M375" s="72" t="n">
        <v>92542000</v>
      </c>
      <c r="N375" s="73" t="n">
        <f aca="false">K375*M375</f>
        <v>92542000</v>
      </c>
      <c r="O375" s="97"/>
      <c r="P375" s="16"/>
      <c r="Q375" s="16"/>
      <c r="R375" s="16"/>
      <c r="S375" s="87"/>
      <c r="T375" s="18"/>
      <c r="V375" s="88" t="n">
        <v>17336500</v>
      </c>
    </row>
    <row r="376" customFormat="false" ht="30" hidden="false" customHeight="true" outlineLevel="1" collapsed="false">
      <c r="A376" s="70" t="n">
        <v>522141</v>
      </c>
      <c r="B376" s="71" t="s">
        <v>79</v>
      </c>
      <c r="C376" s="70"/>
      <c r="D376" s="70"/>
      <c r="E376" s="72"/>
      <c r="F376" s="73" t="n">
        <f aca="false">SUM(F378,F380,F391)</f>
        <v>1791014000</v>
      </c>
      <c r="G376" s="74"/>
      <c r="H376" s="75"/>
      <c r="I376" s="70" t="n">
        <v>522141</v>
      </c>
      <c r="J376" s="71" t="s">
        <v>79</v>
      </c>
      <c r="K376" s="70"/>
      <c r="L376" s="70"/>
      <c r="M376" s="72"/>
      <c r="N376" s="73" t="n">
        <f aca="false">SUM(N378,N380,N391)</f>
        <v>1776014000</v>
      </c>
      <c r="O376" s="76"/>
      <c r="P376" s="18"/>
      <c r="Q376" s="18"/>
      <c r="R376" s="18"/>
      <c r="S376" s="17"/>
      <c r="T376" s="18"/>
      <c r="V376" s="27" t="n">
        <v>309604805</v>
      </c>
    </row>
    <row r="377" customFormat="false" ht="30" hidden="false" customHeight="true" outlineLevel="1" collapsed="false">
      <c r="A377" s="70"/>
      <c r="B377" s="77" t="s">
        <v>32</v>
      </c>
      <c r="C377" s="70"/>
      <c r="D377" s="70"/>
      <c r="E377" s="72"/>
      <c r="F377" s="73"/>
      <c r="G377" s="74"/>
      <c r="H377" s="75"/>
      <c r="I377" s="70"/>
      <c r="J377" s="77" t="s">
        <v>32</v>
      </c>
      <c r="K377" s="70"/>
      <c r="L377" s="70"/>
      <c r="M377" s="72"/>
      <c r="N377" s="73"/>
      <c r="O377" s="78"/>
      <c r="P377" s="18"/>
      <c r="Q377" s="18"/>
      <c r="R377" s="18"/>
      <c r="S377" s="17"/>
      <c r="T377" s="18"/>
    </row>
    <row r="378" customFormat="false" ht="30" hidden="false" customHeight="true" outlineLevel="1" collapsed="false">
      <c r="A378" s="70"/>
      <c r="B378" s="221" t="s">
        <v>334</v>
      </c>
      <c r="C378" s="70"/>
      <c r="D378" s="70"/>
      <c r="E378" s="72"/>
      <c r="F378" s="73" t="n">
        <f aca="false">SUM(F379)</f>
        <v>64200000</v>
      </c>
      <c r="G378" s="98"/>
      <c r="H378" s="99"/>
      <c r="I378" s="70"/>
      <c r="J378" s="221" t="s">
        <v>334</v>
      </c>
      <c r="K378" s="70"/>
      <c r="L378" s="70"/>
      <c r="M378" s="72"/>
      <c r="N378" s="73" t="n">
        <f aca="false">SUM(N379)</f>
        <v>49200000</v>
      </c>
      <c r="O378" s="97"/>
      <c r="P378" s="16"/>
      <c r="Q378" s="16"/>
      <c r="R378" s="16"/>
      <c r="S378" s="87"/>
      <c r="T378" s="18"/>
    </row>
    <row r="379" customFormat="false" ht="30" hidden="false" customHeight="true" outlineLevel="1" collapsed="false">
      <c r="A379" s="79"/>
      <c r="B379" s="80" t="s">
        <v>335</v>
      </c>
      <c r="C379" s="79" t="n">
        <v>12</v>
      </c>
      <c r="D379" s="79" t="s">
        <v>312</v>
      </c>
      <c r="E379" s="100" t="n">
        <v>5350000</v>
      </c>
      <c r="F379" s="81" t="n">
        <f aca="false">C379*E379</f>
        <v>64200000</v>
      </c>
      <c r="G379" s="82" t="s">
        <v>279</v>
      </c>
      <c r="H379" s="83"/>
      <c r="I379" s="79"/>
      <c r="J379" s="80" t="s">
        <v>335</v>
      </c>
      <c r="K379" s="79" t="n">
        <v>12</v>
      </c>
      <c r="L379" s="79" t="s">
        <v>312</v>
      </c>
      <c r="M379" s="100" t="n">
        <v>4100000</v>
      </c>
      <c r="N379" s="81" t="n">
        <f aca="false">K379*M379</f>
        <v>49200000</v>
      </c>
      <c r="O379" s="84"/>
      <c r="P379" s="105"/>
      <c r="Q379" s="105"/>
      <c r="R379" s="222" t="n">
        <f aca="false">F379-N379</f>
        <v>15000000</v>
      </c>
      <c r="S379" s="102"/>
      <c r="T379" s="52" t="n">
        <f aca="false">N379-F379</f>
        <v>-15000000</v>
      </c>
      <c r="V379" s="88" t="n">
        <v>31521600</v>
      </c>
    </row>
    <row r="380" customFormat="false" ht="30" hidden="false" customHeight="true" outlineLevel="1" collapsed="false">
      <c r="A380" s="70"/>
      <c r="B380" s="221" t="s">
        <v>336</v>
      </c>
      <c r="C380" s="70"/>
      <c r="D380" s="70"/>
      <c r="E380" s="72"/>
      <c r="F380" s="73" t="n">
        <f aca="false">SUM(F381:F390)</f>
        <v>614487000</v>
      </c>
      <c r="G380" s="98"/>
      <c r="H380" s="99"/>
      <c r="I380" s="70"/>
      <c r="J380" s="221" t="s">
        <v>336</v>
      </c>
      <c r="K380" s="70"/>
      <c r="L380" s="70"/>
      <c r="M380" s="72"/>
      <c r="N380" s="73" t="n">
        <f aca="false">SUM(N381:N390)</f>
        <v>614487000</v>
      </c>
      <c r="O380" s="97"/>
      <c r="P380" s="16"/>
      <c r="Q380" s="16"/>
      <c r="R380" s="69"/>
      <c r="S380" s="87"/>
      <c r="T380" s="18"/>
    </row>
    <row r="381" customFormat="false" ht="45" hidden="false" customHeight="true" outlineLevel="1" collapsed="false">
      <c r="A381" s="70"/>
      <c r="B381" s="77" t="s">
        <v>337</v>
      </c>
      <c r="C381" s="70" t="n">
        <v>10</v>
      </c>
      <c r="D381" s="70" t="s">
        <v>287</v>
      </c>
      <c r="E381" s="72" t="n">
        <v>10425300</v>
      </c>
      <c r="F381" s="73" t="n">
        <f aca="false">C381*E381</f>
        <v>104253000</v>
      </c>
      <c r="G381" s="98"/>
      <c r="H381" s="99"/>
      <c r="I381" s="70"/>
      <c r="J381" s="77" t="s">
        <v>337</v>
      </c>
      <c r="K381" s="70" t="n">
        <v>10</v>
      </c>
      <c r="L381" s="70" t="s">
        <v>287</v>
      </c>
      <c r="M381" s="72" t="n">
        <v>10425300</v>
      </c>
      <c r="N381" s="73" t="n">
        <f aca="false">K381*M381</f>
        <v>104253000</v>
      </c>
      <c r="O381" s="97"/>
      <c r="P381" s="16"/>
      <c r="Q381" s="16"/>
      <c r="R381" s="16"/>
      <c r="S381" s="87"/>
      <c r="T381" s="18"/>
      <c r="V381" s="88" t="n">
        <v>1125</v>
      </c>
    </row>
    <row r="382" customFormat="false" ht="30" hidden="false" customHeight="true" outlineLevel="1" collapsed="false">
      <c r="A382" s="70"/>
      <c r="B382" s="77" t="s">
        <v>338</v>
      </c>
      <c r="C382" s="70" t="n">
        <v>1</v>
      </c>
      <c r="D382" s="70" t="s">
        <v>287</v>
      </c>
      <c r="E382" s="72" t="n">
        <v>30000000</v>
      </c>
      <c r="F382" s="73" t="n">
        <f aca="false">C382*E382</f>
        <v>30000000</v>
      </c>
      <c r="G382" s="98"/>
      <c r="H382" s="99"/>
      <c r="I382" s="70"/>
      <c r="J382" s="77" t="s">
        <v>338</v>
      </c>
      <c r="K382" s="70" t="n">
        <v>1</v>
      </c>
      <c r="L382" s="70" t="s">
        <v>287</v>
      </c>
      <c r="M382" s="72" t="n">
        <v>30000000</v>
      </c>
      <c r="N382" s="73" t="n">
        <f aca="false">K382*M382</f>
        <v>30000000</v>
      </c>
      <c r="O382" s="97"/>
      <c r="P382" s="16"/>
      <c r="Q382" s="16"/>
      <c r="R382" s="16"/>
      <c r="S382" s="87"/>
      <c r="T382" s="18"/>
      <c r="V382" s="88" t="n">
        <v>0</v>
      </c>
    </row>
    <row r="383" customFormat="false" ht="30" hidden="false" customHeight="true" outlineLevel="1" collapsed="false">
      <c r="A383" s="70"/>
      <c r="B383" s="77" t="s">
        <v>339</v>
      </c>
      <c r="C383" s="70" t="n">
        <v>1</v>
      </c>
      <c r="D383" s="70" t="s">
        <v>287</v>
      </c>
      <c r="E383" s="72" t="n">
        <v>30000000</v>
      </c>
      <c r="F383" s="73" t="n">
        <f aca="false">C383*E383</f>
        <v>30000000</v>
      </c>
      <c r="G383" s="98"/>
      <c r="H383" s="99"/>
      <c r="I383" s="70"/>
      <c r="J383" s="77" t="s">
        <v>339</v>
      </c>
      <c r="K383" s="70" t="n">
        <v>1</v>
      </c>
      <c r="L383" s="70" t="s">
        <v>287</v>
      </c>
      <c r="M383" s="72" t="n">
        <v>30000000</v>
      </c>
      <c r="N383" s="73" t="n">
        <f aca="false">K383*M383</f>
        <v>30000000</v>
      </c>
      <c r="O383" s="97"/>
      <c r="P383" s="16"/>
      <c r="Q383" s="16"/>
      <c r="R383" s="16"/>
      <c r="S383" s="87"/>
      <c r="T383" s="18"/>
      <c r="V383" s="88" t="n">
        <v>0</v>
      </c>
    </row>
    <row r="384" customFormat="false" ht="30" hidden="false" customHeight="true" outlineLevel="1" collapsed="false">
      <c r="A384" s="70"/>
      <c r="B384" s="77" t="s">
        <v>340</v>
      </c>
      <c r="C384" s="70" t="n">
        <v>1</v>
      </c>
      <c r="D384" s="70" t="s">
        <v>287</v>
      </c>
      <c r="E384" s="72" t="n">
        <v>30000000</v>
      </c>
      <c r="F384" s="73" t="n">
        <f aca="false">C384*E384</f>
        <v>30000000</v>
      </c>
      <c r="G384" s="98"/>
      <c r="H384" s="99"/>
      <c r="I384" s="70"/>
      <c r="J384" s="77" t="s">
        <v>340</v>
      </c>
      <c r="K384" s="70" t="n">
        <v>1</v>
      </c>
      <c r="L384" s="70" t="s">
        <v>287</v>
      </c>
      <c r="M384" s="72" t="n">
        <v>30000000</v>
      </c>
      <c r="N384" s="73" t="n">
        <f aca="false">K384*M384</f>
        <v>30000000</v>
      </c>
      <c r="O384" s="97"/>
      <c r="P384" s="16"/>
      <c r="Q384" s="16"/>
      <c r="R384" s="16"/>
      <c r="S384" s="87"/>
      <c r="T384" s="18"/>
      <c r="V384" s="88" t="n">
        <v>0</v>
      </c>
    </row>
    <row r="385" customFormat="false" ht="30" hidden="false" customHeight="true" outlineLevel="1" collapsed="false">
      <c r="A385" s="70"/>
      <c r="B385" s="77" t="s">
        <v>341</v>
      </c>
      <c r="C385" s="70" t="n">
        <v>1</v>
      </c>
      <c r="D385" s="70" t="s">
        <v>287</v>
      </c>
      <c r="E385" s="72" t="n">
        <v>40800000</v>
      </c>
      <c r="F385" s="73" t="n">
        <f aca="false">C385*E385</f>
        <v>40800000</v>
      </c>
      <c r="G385" s="98"/>
      <c r="H385" s="99"/>
      <c r="I385" s="70"/>
      <c r="J385" s="77" t="s">
        <v>341</v>
      </c>
      <c r="K385" s="70" t="n">
        <v>1</v>
      </c>
      <c r="L385" s="70" t="s">
        <v>287</v>
      </c>
      <c r="M385" s="72" t="n">
        <v>40800000</v>
      </c>
      <c r="N385" s="73" t="n">
        <f aca="false">K385*M385</f>
        <v>40800000</v>
      </c>
      <c r="O385" s="97"/>
      <c r="P385" s="16"/>
      <c r="Q385" s="16"/>
      <c r="R385" s="16"/>
      <c r="S385" s="87"/>
      <c r="T385" s="18"/>
      <c r="V385" s="88" t="n">
        <v>0</v>
      </c>
    </row>
    <row r="386" customFormat="false" ht="45" hidden="false" customHeight="true" outlineLevel="1" collapsed="false">
      <c r="A386" s="70"/>
      <c r="B386" s="77" t="s">
        <v>342</v>
      </c>
      <c r="C386" s="70" t="n">
        <v>1</v>
      </c>
      <c r="D386" s="70" t="s">
        <v>287</v>
      </c>
      <c r="E386" s="72" t="n">
        <v>30000000</v>
      </c>
      <c r="F386" s="73" t="n">
        <f aca="false">C386*E386</f>
        <v>30000000</v>
      </c>
      <c r="G386" s="98"/>
      <c r="H386" s="99"/>
      <c r="I386" s="70"/>
      <c r="J386" s="77" t="s">
        <v>342</v>
      </c>
      <c r="K386" s="70" t="n">
        <v>1</v>
      </c>
      <c r="L386" s="70" t="s">
        <v>287</v>
      </c>
      <c r="M386" s="72" t="n">
        <v>30000000</v>
      </c>
      <c r="N386" s="73" t="n">
        <f aca="false">K386*M386</f>
        <v>30000000</v>
      </c>
      <c r="O386" s="97"/>
      <c r="P386" s="16"/>
      <c r="Q386" s="16"/>
      <c r="R386" s="16"/>
      <c r="S386" s="87"/>
      <c r="T386" s="18"/>
      <c r="V386" s="88" t="n">
        <v>0</v>
      </c>
    </row>
    <row r="387" customFormat="false" ht="30" hidden="false" customHeight="true" outlineLevel="1" collapsed="false">
      <c r="A387" s="70"/>
      <c r="B387" s="77" t="s">
        <v>343</v>
      </c>
      <c r="C387" s="70" t="n">
        <v>1</v>
      </c>
      <c r="D387" s="70" t="s">
        <v>287</v>
      </c>
      <c r="E387" s="72" t="n">
        <v>58275000</v>
      </c>
      <c r="F387" s="73" t="n">
        <f aca="false">C387*E387</f>
        <v>58275000</v>
      </c>
      <c r="G387" s="98"/>
      <c r="H387" s="99"/>
      <c r="I387" s="70"/>
      <c r="J387" s="77" t="s">
        <v>343</v>
      </c>
      <c r="K387" s="70" t="n">
        <v>1</v>
      </c>
      <c r="L387" s="70" t="s">
        <v>287</v>
      </c>
      <c r="M387" s="72" t="n">
        <v>58275000</v>
      </c>
      <c r="N387" s="73" t="n">
        <f aca="false">K387*M387</f>
        <v>58275000</v>
      </c>
      <c r="O387" s="97"/>
      <c r="P387" s="16"/>
      <c r="Q387" s="16"/>
      <c r="R387" s="16"/>
      <c r="S387" s="87"/>
      <c r="T387" s="18"/>
      <c r="V387" s="88" t="n">
        <v>0</v>
      </c>
    </row>
    <row r="388" customFormat="false" ht="30" hidden="false" customHeight="true" outlineLevel="1" collapsed="false">
      <c r="A388" s="70"/>
      <c r="B388" s="77" t="s">
        <v>344</v>
      </c>
      <c r="C388" s="70" t="n">
        <v>1</v>
      </c>
      <c r="D388" s="70" t="s">
        <v>287</v>
      </c>
      <c r="E388" s="72" t="n">
        <v>138639000</v>
      </c>
      <c r="F388" s="73" t="n">
        <f aca="false">C388*E388</f>
        <v>138639000</v>
      </c>
      <c r="G388" s="98"/>
      <c r="H388" s="99"/>
      <c r="I388" s="70"/>
      <c r="J388" s="77" t="s">
        <v>344</v>
      </c>
      <c r="K388" s="70" t="n">
        <v>1</v>
      </c>
      <c r="L388" s="70" t="s">
        <v>287</v>
      </c>
      <c r="M388" s="72" t="n">
        <v>138639000</v>
      </c>
      <c r="N388" s="73" t="n">
        <f aca="false">K388*M388</f>
        <v>138639000</v>
      </c>
      <c r="O388" s="97"/>
      <c r="P388" s="16"/>
      <c r="Q388" s="16"/>
      <c r="R388" s="16"/>
      <c r="S388" s="87"/>
      <c r="T388" s="18"/>
      <c r="V388" s="88" t="n">
        <v>0</v>
      </c>
    </row>
    <row r="389" customFormat="false" ht="30" hidden="false" customHeight="true" outlineLevel="1" collapsed="false">
      <c r="A389" s="70"/>
      <c r="B389" s="77" t="s">
        <v>345</v>
      </c>
      <c r="C389" s="70" t="n">
        <v>1</v>
      </c>
      <c r="D389" s="70" t="s">
        <v>287</v>
      </c>
      <c r="E389" s="72" t="n">
        <v>61500000</v>
      </c>
      <c r="F389" s="73" t="n">
        <f aca="false">C389*E389</f>
        <v>61500000</v>
      </c>
      <c r="G389" s="98"/>
      <c r="H389" s="99"/>
      <c r="I389" s="70"/>
      <c r="J389" s="77" t="s">
        <v>345</v>
      </c>
      <c r="K389" s="70" t="n">
        <v>1</v>
      </c>
      <c r="L389" s="70" t="s">
        <v>287</v>
      </c>
      <c r="M389" s="72" t="n">
        <v>61500000</v>
      </c>
      <c r="N389" s="73" t="n">
        <f aca="false">K389*M389</f>
        <v>61500000</v>
      </c>
      <c r="O389" s="97"/>
      <c r="P389" s="16"/>
      <c r="Q389" s="16"/>
      <c r="R389" s="16"/>
      <c r="S389" s="87"/>
      <c r="T389" s="18"/>
      <c r="V389" s="88" t="n">
        <v>0</v>
      </c>
    </row>
    <row r="390" customFormat="false" ht="30" hidden="false" customHeight="true" outlineLevel="1" collapsed="false">
      <c r="A390" s="70"/>
      <c r="B390" s="77" t="s">
        <v>346</v>
      </c>
      <c r="C390" s="70" t="n">
        <v>1</v>
      </c>
      <c r="D390" s="70" t="s">
        <v>287</v>
      </c>
      <c r="E390" s="72" t="n">
        <v>91020000</v>
      </c>
      <c r="F390" s="73" t="n">
        <f aca="false">C390*E390</f>
        <v>91020000</v>
      </c>
      <c r="G390" s="98"/>
      <c r="H390" s="99"/>
      <c r="I390" s="70"/>
      <c r="J390" s="77" t="s">
        <v>346</v>
      </c>
      <c r="K390" s="70" t="n">
        <v>1</v>
      </c>
      <c r="L390" s="70" t="s">
        <v>287</v>
      </c>
      <c r="M390" s="72" t="n">
        <v>91020000</v>
      </c>
      <c r="N390" s="73" t="n">
        <f aca="false">K390*M390</f>
        <v>91020000</v>
      </c>
      <c r="O390" s="97"/>
      <c r="P390" s="16"/>
      <c r="Q390" s="16"/>
      <c r="R390" s="16"/>
      <c r="S390" s="87"/>
      <c r="T390" s="18"/>
      <c r="V390" s="88" t="n">
        <v>0</v>
      </c>
    </row>
    <row r="391" customFormat="false" ht="30" hidden="false" customHeight="true" outlineLevel="1" collapsed="false">
      <c r="A391" s="70"/>
      <c r="B391" s="221" t="s">
        <v>347</v>
      </c>
      <c r="C391" s="70"/>
      <c r="D391" s="70"/>
      <c r="E391" s="72"/>
      <c r="F391" s="73" t="n">
        <f aca="false">SUM(F392:F402)</f>
        <v>1112327000</v>
      </c>
      <c r="G391" s="98"/>
      <c r="H391" s="99"/>
      <c r="I391" s="70"/>
      <c r="J391" s="221" t="s">
        <v>347</v>
      </c>
      <c r="K391" s="70"/>
      <c r="L391" s="70"/>
      <c r="M391" s="72"/>
      <c r="N391" s="73" t="n">
        <f aca="false">SUM(N392:N402)</f>
        <v>1112327000</v>
      </c>
      <c r="O391" s="97"/>
      <c r="P391" s="16"/>
      <c r="Q391" s="16"/>
      <c r="R391" s="16"/>
      <c r="S391" s="87"/>
      <c r="T391" s="18"/>
    </row>
    <row r="392" customFormat="false" ht="30" hidden="false" customHeight="true" outlineLevel="1" collapsed="false">
      <c r="A392" s="70"/>
      <c r="B392" s="77" t="s">
        <v>348</v>
      </c>
      <c r="C392" s="70" t="n">
        <v>1</v>
      </c>
      <c r="D392" s="70" t="s">
        <v>55</v>
      </c>
      <c r="E392" s="72" t="n">
        <v>339767000</v>
      </c>
      <c r="F392" s="73" t="n">
        <f aca="false">C392*E392</f>
        <v>339767000</v>
      </c>
      <c r="G392" s="98"/>
      <c r="H392" s="99"/>
      <c r="I392" s="70"/>
      <c r="J392" s="77" t="s">
        <v>348</v>
      </c>
      <c r="K392" s="70" t="n">
        <v>1</v>
      </c>
      <c r="L392" s="70" t="s">
        <v>55</v>
      </c>
      <c r="M392" s="72" t="n">
        <v>339767000</v>
      </c>
      <c r="N392" s="73" t="n">
        <f aca="false">K392*M392</f>
        <v>339767000</v>
      </c>
      <c r="O392" s="97"/>
      <c r="P392" s="16"/>
      <c r="Q392" s="16"/>
      <c r="R392" s="16"/>
      <c r="S392" s="87"/>
      <c r="T392" s="18"/>
      <c r="V392" s="88" t="n">
        <v>84942080</v>
      </c>
    </row>
    <row r="393" customFormat="false" ht="30" hidden="false" customHeight="true" outlineLevel="1" collapsed="false">
      <c r="A393" s="70"/>
      <c r="B393" s="77" t="s">
        <v>349</v>
      </c>
      <c r="C393" s="70" t="n">
        <v>1</v>
      </c>
      <c r="D393" s="70" t="s">
        <v>287</v>
      </c>
      <c r="E393" s="72" t="n">
        <v>77256000</v>
      </c>
      <c r="F393" s="73" t="n">
        <f aca="false">C393*E393</f>
        <v>77256000</v>
      </c>
      <c r="G393" s="98"/>
      <c r="H393" s="99"/>
      <c r="I393" s="70"/>
      <c r="J393" s="77" t="s">
        <v>349</v>
      </c>
      <c r="K393" s="70" t="n">
        <v>1</v>
      </c>
      <c r="L393" s="70" t="s">
        <v>287</v>
      </c>
      <c r="M393" s="72" t="n">
        <v>77256000</v>
      </c>
      <c r="N393" s="73" t="n">
        <f aca="false">K393*M393</f>
        <v>77256000</v>
      </c>
      <c r="O393" s="97"/>
      <c r="P393" s="16"/>
      <c r="Q393" s="16"/>
      <c r="R393" s="16"/>
      <c r="S393" s="87"/>
      <c r="T393" s="18"/>
      <c r="V393" s="88" t="n">
        <v>19314000</v>
      </c>
    </row>
    <row r="394" customFormat="false" ht="30" hidden="false" customHeight="true" outlineLevel="1" collapsed="false">
      <c r="A394" s="70"/>
      <c r="B394" s="77" t="s">
        <v>350</v>
      </c>
      <c r="C394" s="70" t="n">
        <v>1</v>
      </c>
      <c r="D394" s="70" t="s">
        <v>34</v>
      </c>
      <c r="E394" s="72" t="n">
        <v>77256000</v>
      </c>
      <c r="F394" s="73" t="n">
        <f aca="false">C394*E394</f>
        <v>77256000</v>
      </c>
      <c r="G394" s="98"/>
      <c r="H394" s="99"/>
      <c r="I394" s="70"/>
      <c r="J394" s="77" t="s">
        <v>350</v>
      </c>
      <c r="K394" s="70" t="n">
        <v>1</v>
      </c>
      <c r="L394" s="70" t="s">
        <v>34</v>
      </c>
      <c r="M394" s="72" t="n">
        <v>77256000</v>
      </c>
      <c r="N394" s="73" t="n">
        <f aca="false">K394*M394</f>
        <v>77256000</v>
      </c>
      <c r="O394" s="97"/>
      <c r="P394" s="16"/>
      <c r="Q394" s="16"/>
      <c r="R394" s="16"/>
      <c r="S394" s="87"/>
      <c r="T394" s="18"/>
      <c r="V394" s="88" t="n">
        <v>19314000</v>
      </c>
    </row>
    <row r="395" customFormat="false" ht="30" hidden="false" customHeight="true" outlineLevel="1" collapsed="false">
      <c r="A395" s="70"/>
      <c r="B395" s="77" t="s">
        <v>351</v>
      </c>
      <c r="C395" s="70" t="n">
        <v>12</v>
      </c>
      <c r="D395" s="70" t="s">
        <v>69</v>
      </c>
      <c r="E395" s="72" t="n">
        <v>6438000</v>
      </c>
      <c r="F395" s="73" t="n">
        <f aca="false">C395*E395</f>
        <v>77256000</v>
      </c>
      <c r="G395" s="98"/>
      <c r="H395" s="99"/>
      <c r="I395" s="70"/>
      <c r="J395" s="77" t="s">
        <v>351</v>
      </c>
      <c r="K395" s="70" t="n">
        <v>12</v>
      </c>
      <c r="L395" s="70" t="s">
        <v>69</v>
      </c>
      <c r="M395" s="72" t="n">
        <v>6438000</v>
      </c>
      <c r="N395" s="73" t="n">
        <f aca="false">K395*M395</f>
        <v>77256000</v>
      </c>
      <c r="O395" s="97"/>
      <c r="P395" s="16"/>
      <c r="Q395" s="16"/>
      <c r="R395" s="16"/>
      <c r="S395" s="87"/>
      <c r="T395" s="18"/>
      <c r="V395" s="88" t="n">
        <v>19314000</v>
      </c>
    </row>
    <row r="396" customFormat="false" ht="30" hidden="false" customHeight="true" outlineLevel="1" collapsed="false">
      <c r="A396" s="70"/>
      <c r="B396" s="77" t="s">
        <v>352</v>
      </c>
      <c r="C396" s="70" t="n">
        <v>12</v>
      </c>
      <c r="D396" s="70" t="s">
        <v>69</v>
      </c>
      <c r="E396" s="72" t="n">
        <v>6438000</v>
      </c>
      <c r="F396" s="73" t="n">
        <f aca="false">C396*E396</f>
        <v>77256000</v>
      </c>
      <c r="G396" s="98"/>
      <c r="H396" s="99"/>
      <c r="I396" s="70"/>
      <c r="J396" s="77" t="s">
        <v>352</v>
      </c>
      <c r="K396" s="70" t="n">
        <v>12</v>
      </c>
      <c r="L396" s="70" t="s">
        <v>69</v>
      </c>
      <c r="M396" s="72" t="n">
        <v>6438000</v>
      </c>
      <c r="N396" s="73" t="n">
        <f aca="false">K396*M396</f>
        <v>77256000</v>
      </c>
      <c r="O396" s="97"/>
      <c r="P396" s="16"/>
      <c r="Q396" s="16"/>
      <c r="R396" s="16"/>
      <c r="S396" s="87"/>
      <c r="T396" s="18"/>
      <c r="V396" s="88" t="n">
        <v>19314000</v>
      </c>
    </row>
    <row r="397" customFormat="false" ht="30" hidden="false" customHeight="true" outlineLevel="1" collapsed="false">
      <c r="A397" s="70"/>
      <c r="B397" s="77" t="s">
        <v>353</v>
      </c>
      <c r="C397" s="70" t="n">
        <v>12</v>
      </c>
      <c r="D397" s="70" t="s">
        <v>69</v>
      </c>
      <c r="E397" s="72" t="n">
        <v>6438000</v>
      </c>
      <c r="F397" s="73" t="n">
        <f aca="false">C397*E397</f>
        <v>77256000</v>
      </c>
      <c r="G397" s="98"/>
      <c r="H397" s="99"/>
      <c r="I397" s="70"/>
      <c r="J397" s="77" t="s">
        <v>353</v>
      </c>
      <c r="K397" s="70" t="n">
        <v>12</v>
      </c>
      <c r="L397" s="70" t="s">
        <v>69</v>
      </c>
      <c r="M397" s="72" t="n">
        <v>6438000</v>
      </c>
      <c r="N397" s="73" t="n">
        <f aca="false">K397*M397</f>
        <v>77256000</v>
      </c>
      <c r="O397" s="97"/>
      <c r="P397" s="16"/>
      <c r="Q397" s="16"/>
      <c r="R397" s="16"/>
      <c r="S397" s="87"/>
      <c r="T397" s="18"/>
      <c r="V397" s="88" t="n">
        <v>19314000</v>
      </c>
    </row>
    <row r="398" customFormat="false" ht="30" hidden="false" customHeight="true" outlineLevel="1" collapsed="false">
      <c r="A398" s="70"/>
      <c r="B398" s="77" t="s">
        <v>354</v>
      </c>
      <c r="C398" s="70" t="n">
        <v>12</v>
      </c>
      <c r="D398" s="70" t="s">
        <v>69</v>
      </c>
      <c r="E398" s="72" t="n">
        <v>6438000</v>
      </c>
      <c r="F398" s="73" t="n">
        <f aca="false">C398*E398</f>
        <v>77256000</v>
      </c>
      <c r="G398" s="98"/>
      <c r="H398" s="99"/>
      <c r="I398" s="70"/>
      <c r="J398" s="77" t="s">
        <v>354</v>
      </c>
      <c r="K398" s="70" t="n">
        <v>12</v>
      </c>
      <c r="L398" s="70" t="s">
        <v>69</v>
      </c>
      <c r="M398" s="72" t="n">
        <v>6438000</v>
      </c>
      <c r="N398" s="73" t="n">
        <f aca="false">K398*M398</f>
        <v>77256000</v>
      </c>
      <c r="O398" s="97"/>
      <c r="P398" s="16"/>
      <c r="Q398" s="16"/>
      <c r="R398" s="16"/>
      <c r="S398" s="87"/>
      <c r="T398" s="18"/>
      <c r="V398" s="88" t="n">
        <v>19314000</v>
      </c>
    </row>
    <row r="399" customFormat="false" ht="30" hidden="false" customHeight="true" outlineLevel="1" collapsed="false">
      <c r="A399" s="70"/>
      <c r="B399" s="77" t="s">
        <v>355</v>
      </c>
      <c r="C399" s="70" t="n">
        <v>12</v>
      </c>
      <c r="D399" s="70" t="s">
        <v>69</v>
      </c>
      <c r="E399" s="72" t="n">
        <v>6438000</v>
      </c>
      <c r="F399" s="73" t="n">
        <f aca="false">C399*E399</f>
        <v>77256000</v>
      </c>
      <c r="G399" s="98"/>
      <c r="H399" s="99"/>
      <c r="I399" s="70"/>
      <c r="J399" s="77" t="s">
        <v>355</v>
      </c>
      <c r="K399" s="70" t="n">
        <v>12</v>
      </c>
      <c r="L399" s="70" t="s">
        <v>69</v>
      </c>
      <c r="M399" s="72" t="n">
        <v>6438000</v>
      </c>
      <c r="N399" s="73" t="n">
        <f aca="false">K399*M399</f>
        <v>77256000</v>
      </c>
      <c r="O399" s="97"/>
      <c r="P399" s="16"/>
      <c r="Q399" s="16"/>
      <c r="R399" s="16"/>
      <c r="S399" s="87"/>
      <c r="T399" s="18"/>
      <c r="V399" s="88" t="n">
        <v>19314000</v>
      </c>
    </row>
    <row r="400" customFormat="false" ht="30" hidden="false" customHeight="true" outlineLevel="1" collapsed="false">
      <c r="A400" s="70"/>
      <c r="B400" s="77" t="s">
        <v>356</v>
      </c>
      <c r="C400" s="70" t="n">
        <v>12</v>
      </c>
      <c r="D400" s="70" t="s">
        <v>69</v>
      </c>
      <c r="E400" s="72" t="n">
        <v>6438000</v>
      </c>
      <c r="F400" s="73" t="n">
        <f aca="false">C400*E400</f>
        <v>77256000</v>
      </c>
      <c r="G400" s="98"/>
      <c r="H400" s="99"/>
      <c r="I400" s="70"/>
      <c r="J400" s="77" t="s">
        <v>356</v>
      </c>
      <c r="K400" s="70" t="n">
        <v>12</v>
      </c>
      <c r="L400" s="70" t="s">
        <v>69</v>
      </c>
      <c r="M400" s="72" t="n">
        <v>6438000</v>
      </c>
      <c r="N400" s="73" t="n">
        <f aca="false">K400*M400</f>
        <v>77256000</v>
      </c>
      <c r="O400" s="97"/>
      <c r="P400" s="16"/>
      <c r="Q400" s="16"/>
      <c r="R400" s="16"/>
      <c r="S400" s="87"/>
      <c r="T400" s="18"/>
      <c r="V400" s="88" t="n">
        <v>19314000</v>
      </c>
    </row>
    <row r="401" customFormat="false" ht="30" hidden="false" customHeight="true" outlineLevel="1" collapsed="false">
      <c r="A401" s="70"/>
      <c r="B401" s="77" t="s">
        <v>357</v>
      </c>
      <c r="C401" s="70" t="n">
        <v>12</v>
      </c>
      <c r="D401" s="70" t="s">
        <v>69</v>
      </c>
      <c r="E401" s="72" t="n">
        <v>6438000</v>
      </c>
      <c r="F401" s="73" t="n">
        <f aca="false">C401*E401</f>
        <v>77256000</v>
      </c>
      <c r="G401" s="98"/>
      <c r="H401" s="99"/>
      <c r="I401" s="70"/>
      <c r="J401" s="77" t="s">
        <v>357</v>
      </c>
      <c r="K401" s="70" t="n">
        <v>12</v>
      </c>
      <c r="L401" s="70" t="s">
        <v>69</v>
      </c>
      <c r="M401" s="72" t="n">
        <v>6438000</v>
      </c>
      <c r="N401" s="73" t="n">
        <f aca="false">K401*M401</f>
        <v>77256000</v>
      </c>
      <c r="O401" s="97"/>
      <c r="P401" s="16"/>
      <c r="Q401" s="16"/>
      <c r="R401" s="16"/>
      <c r="S401" s="87"/>
      <c r="T401" s="18"/>
      <c r="V401" s="88" t="n">
        <v>19314000</v>
      </c>
    </row>
    <row r="402" customFormat="false" ht="30" hidden="false" customHeight="true" outlineLevel="1" collapsed="false">
      <c r="A402" s="70"/>
      <c r="B402" s="77" t="s">
        <v>358</v>
      </c>
      <c r="C402" s="70" t="n">
        <v>12</v>
      </c>
      <c r="D402" s="70" t="s">
        <v>69</v>
      </c>
      <c r="E402" s="72" t="n">
        <v>6438000</v>
      </c>
      <c r="F402" s="73" t="n">
        <f aca="false">C402*E402</f>
        <v>77256000</v>
      </c>
      <c r="G402" s="98"/>
      <c r="H402" s="99"/>
      <c r="I402" s="70"/>
      <c r="J402" s="77" t="s">
        <v>358</v>
      </c>
      <c r="K402" s="70" t="n">
        <v>12</v>
      </c>
      <c r="L402" s="70" t="s">
        <v>69</v>
      </c>
      <c r="M402" s="72" t="n">
        <v>6438000</v>
      </c>
      <c r="N402" s="73" t="n">
        <f aca="false">K402*M402</f>
        <v>77256000</v>
      </c>
      <c r="O402" s="97"/>
      <c r="P402" s="16"/>
      <c r="Q402" s="16"/>
      <c r="R402" s="16"/>
      <c r="S402" s="87"/>
      <c r="T402" s="18"/>
      <c r="V402" s="88" t="n">
        <v>19314000</v>
      </c>
    </row>
    <row r="403" customFormat="false" ht="30" hidden="false" customHeight="true" outlineLevel="1" collapsed="false">
      <c r="A403" s="70" t="n">
        <v>522191</v>
      </c>
      <c r="B403" s="71" t="s">
        <v>359</v>
      </c>
      <c r="C403" s="70"/>
      <c r="D403" s="70"/>
      <c r="E403" s="72"/>
      <c r="F403" s="73" t="n">
        <f aca="false">SUM(F405)</f>
        <v>135200000</v>
      </c>
      <c r="G403" s="74"/>
      <c r="H403" s="75"/>
      <c r="I403" s="70" t="n">
        <v>522191</v>
      </c>
      <c r="J403" s="71" t="s">
        <v>359</v>
      </c>
      <c r="K403" s="70"/>
      <c r="L403" s="70"/>
      <c r="M403" s="72"/>
      <c r="N403" s="73" t="n">
        <f aca="false">SUM(N405)</f>
        <v>135200000</v>
      </c>
      <c r="O403" s="76"/>
      <c r="P403" s="18"/>
      <c r="Q403" s="18"/>
      <c r="R403" s="18"/>
      <c r="S403" s="17"/>
      <c r="T403" s="18"/>
      <c r="V403" s="27" t="n">
        <v>41756000</v>
      </c>
    </row>
    <row r="404" customFormat="false" ht="30" hidden="false" customHeight="true" outlineLevel="1" collapsed="false">
      <c r="A404" s="70"/>
      <c r="B404" s="77" t="s">
        <v>32</v>
      </c>
      <c r="C404" s="70"/>
      <c r="D404" s="70"/>
      <c r="E404" s="72"/>
      <c r="F404" s="73"/>
      <c r="G404" s="74"/>
      <c r="H404" s="75"/>
      <c r="I404" s="70"/>
      <c r="J404" s="77" t="s">
        <v>32</v>
      </c>
      <c r="K404" s="70"/>
      <c r="L404" s="70"/>
      <c r="M404" s="72"/>
      <c r="N404" s="73"/>
      <c r="O404" s="78"/>
      <c r="P404" s="18"/>
      <c r="Q404" s="18"/>
      <c r="R404" s="18"/>
      <c r="S404" s="17"/>
      <c r="T404" s="18"/>
    </row>
    <row r="405" customFormat="false" ht="30" hidden="false" customHeight="true" outlineLevel="1" collapsed="false">
      <c r="A405" s="70"/>
      <c r="B405" s="77" t="s">
        <v>360</v>
      </c>
      <c r="C405" s="70" t="n">
        <f aca="false">2*13</f>
        <v>26</v>
      </c>
      <c r="D405" s="70" t="s">
        <v>308</v>
      </c>
      <c r="E405" s="72" t="n">
        <v>5200000</v>
      </c>
      <c r="F405" s="73" t="n">
        <f aca="false">C405*E405</f>
        <v>135200000</v>
      </c>
      <c r="G405" s="98"/>
      <c r="H405" s="99"/>
      <c r="I405" s="70"/>
      <c r="J405" s="77" t="s">
        <v>360</v>
      </c>
      <c r="K405" s="70" t="n">
        <f aca="false">2*13</f>
        <v>26</v>
      </c>
      <c r="L405" s="70" t="s">
        <v>308</v>
      </c>
      <c r="M405" s="72" t="n">
        <v>5200000</v>
      </c>
      <c r="N405" s="73" t="n">
        <f aca="false">K405*M405</f>
        <v>135200000</v>
      </c>
      <c r="O405" s="97"/>
      <c r="P405" s="16"/>
      <c r="Q405" s="16"/>
      <c r="R405" s="16"/>
      <c r="S405" s="87"/>
      <c r="T405" s="18"/>
      <c r="V405" s="88" t="n">
        <v>41756000</v>
      </c>
    </row>
    <row r="406" customFormat="false" ht="30" hidden="false" customHeight="true" outlineLevel="1" collapsed="false">
      <c r="A406" s="70" t="n">
        <v>523199</v>
      </c>
      <c r="B406" s="71" t="s">
        <v>361</v>
      </c>
      <c r="C406" s="70"/>
      <c r="D406" s="70"/>
      <c r="E406" s="72"/>
      <c r="F406" s="73" t="n">
        <f aca="false">SUM(F408)</f>
        <v>3808000</v>
      </c>
      <c r="G406" s="74"/>
      <c r="H406" s="75"/>
      <c r="I406" s="70" t="n">
        <v>523199</v>
      </c>
      <c r="J406" s="71" t="s">
        <v>361</v>
      </c>
      <c r="K406" s="70"/>
      <c r="L406" s="70"/>
      <c r="M406" s="72"/>
      <c r="N406" s="73" t="n">
        <f aca="false">SUM(N408:N408)</f>
        <v>11808000</v>
      </c>
      <c r="O406" s="76"/>
      <c r="P406" s="18"/>
      <c r="Q406" s="18"/>
      <c r="R406" s="18"/>
      <c r="S406" s="17"/>
      <c r="T406" s="18"/>
      <c r="V406" s="27" t="n">
        <v>1714000</v>
      </c>
    </row>
    <row r="407" customFormat="false" ht="30" hidden="false" customHeight="true" outlineLevel="1" collapsed="false">
      <c r="A407" s="70"/>
      <c r="B407" s="77" t="s">
        <v>32</v>
      </c>
      <c r="C407" s="70"/>
      <c r="D407" s="70"/>
      <c r="E407" s="72"/>
      <c r="F407" s="73"/>
      <c r="G407" s="74"/>
      <c r="H407" s="75"/>
      <c r="I407" s="70"/>
      <c r="J407" s="77" t="s">
        <v>32</v>
      </c>
      <c r="K407" s="70"/>
      <c r="L407" s="70"/>
      <c r="M407" s="72"/>
      <c r="N407" s="73"/>
      <c r="O407" s="78"/>
      <c r="P407" s="18"/>
      <c r="Q407" s="18"/>
      <c r="R407" s="18"/>
      <c r="S407" s="17"/>
      <c r="T407" s="18"/>
    </row>
    <row r="408" customFormat="false" ht="30" hidden="false" customHeight="true" outlineLevel="1" collapsed="false">
      <c r="A408" s="107"/>
      <c r="B408" s="108" t="s">
        <v>362</v>
      </c>
      <c r="C408" s="107" t="n">
        <v>8</v>
      </c>
      <c r="D408" s="107" t="s">
        <v>312</v>
      </c>
      <c r="E408" s="109" t="n">
        <v>476000</v>
      </c>
      <c r="F408" s="110" t="n">
        <f aca="false">C408*E408</f>
        <v>3808000</v>
      </c>
      <c r="G408" s="142"/>
      <c r="H408" s="143"/>
      <c r="I408" s="107"/>
      <c r="J408" s="108" t="s">
        <v>363</v>
      </c>
      <c r="K408" s="107" t="n">
        <v>8</v>
      </c>
      <c r="L408" s="107" t="s">
        <v>312</v>
      </c>
      <c r="M408" s="109" t="n">
        <v>1476000</v>
      </c>
      <c r="N408" s="110" t="n">
        <f aca="false">K408*M408</f>
        <v>11808000</v>
      </c>
      <c r="O408" s="113"/>
      <c r="P408" s="114"/>
      <c r="Q408" s="114"/>
      <c r="R408" s="115" t="n">
        <f aca="false">F408-N408</f>
        <v>-8000000</v>
      </c>
      <c r="S408" s="220"/>
      <c r="T408" s="52" t="n">
        <f aca="false">N408-F408</f>
        <v>8000000</v>
      </c>
      <c r="V408" s="88" t="n">
        <v>1714000</v>
      </c>
    </row>
    <row r="409" customFormat="false" ht="23.25" hidden="false" customHeight="true" outlineLevel="0" collapsed="false">
      <c r="A409" s="62" t="s">
        <v>114</v>
      </c>
      <c r="B409" s="63" t="s">
        <v>364</v>
      </c>
      <c r="C409" s="64"/>
      <c r="D409" s="64"/>
      <c r="E409" s="65"/>
      <c r="F409" s="66" t="n">
        <f aca="false">SUM(F410,F413,F416,F419)</f>
        <v>715782000</v>
      </c>
      <c r="G409" s="67"/>
      <c r="H409" s="48"/>
      <c r="I409" s="62" t="s">
        <v>114</v>
      </c>
      <c r="J409" s="63" t="s">
        <v>364</v>
      </c>
      <c r="K409" s="64"/>
      <c r="L409" s="64"/>
      <c r="M409" s="65"/>
      <c r="N409" s="66" t="n">
        <f aca="false">SUM(N410,N413,N416,N419)</f>
        <v>681782000</v>
      </c>
      <c r="O409" s="68"/>
      <c r="P409" s="69"/>
      <c r="Q409" s="69"/>
      <c r="R409" s="69"/>
      <c r="S409" s="17"/>
      <c r="T409" s="18"/>
      <c r="V409" s="27" t="n">
        <v>240465331</v>
      </c>
    </row>
    <row r="410" customFormat="false" ht="30" hidden="false" customHeight="true" outlineLevel="1" collapsed="false">
      <c r="A410" s="70" t="n">
        <v>522111</v>
      </c>
      <c r="B410" s="71" t="s">
        <v>365</v>
      </c>
      <c r="C410" s="70"/>
      <c r="D410" s="70"/>
      <c r="E410" s="72"/>
      <c r="F410" s="73" t="n">
        <f aca="false">SUM(F412)</f>
        <v>362982000</v>
      </c>
      <c r="G410" s="74"/>
      <c r="H410" s="75"/>
      <c r="I410" s="70" t="n">
        <v>522111</v>
      </c>
      <c r="J410" s="71" t="s">
        <v>365</v>
      </c>
      <c r="K410" s="70"/>
      <c r="L410" s="70"/>
      <c r="M410" s="72"/>
      <c r="N410" s="73" t="n">
        <f aca="false">SUM(N412)</f>
        <v>342982000</v>
      </c>
      <c r="O410" s="76"/>
      <c r="P410" s="18"/>
      <c r="Q410" s="18"/>
      <c r="R410" s="18"/>
      <c r="S410" s="17"/>
      <c r="T410" s="18"/>
      <c r="V410" s="27" t="n">
        <v>121467110</v>
      </c>
    </row>
    <row r="411" customFormat="false" ht="30" hidden="false" customHeight="true" outlineLevel="1" collapsed="false">
      <c r="A411" s="70"/>
      <c r="B411" s="77" t="s">
        <v>32</v>
      </c>
      <c r="C411" s="70"/>
      <c r="D411" s="70"/>
      <c r="E411" s="72"/>
      <c r="F411" s="73"/>
      <c r="G411" s="74"/>
      <c r="H411" s="75"/>
      <c r="I411" s="70"/>
      <c r="J411" s="77" t="s">
        <v>32</v>
      </c>
      <c r="K411" s="70"/>
      <c r="L411" s="70"/>
      <c r="M411" s="72"/>
      <c r="N411" s="73"/>
      <c r="O411" s="78"/>
      <c r="P411" s="18"/>
      <c r="Q411" s="18"/>
      <c r="R411" s="18"/>
      <c r="S411" s="17"/>
      <c r="T411" s="18"/>
    </row>
    <row r="412" customFormat="false" ht="30" hidden="false" customHeight="true" outlineLevel="1" collapsed="false">
      <c r="A412" s="79"/>
      <c r="B412" s="80" t="s">
        <v>366</v>
      </c>
      <c r="C412" s="79" t="n">
        <v>12</v>
      </c>
      <c r="D412" s="79" t="s">
        <v>69</v>
      </c>
      <c r="E412" s="100" t="n">
        <v>30248500</v>
      </c>
      <c r="F412" s="81" t="n">
        <f aca="false">C412*E412</f>
        <v>362982000</v>
      </c>
      <c r="G412" s="82" t="s">
        <v>279</v>
      </c>
      <c r="H412" s="83"/>
      <c r="I412" s="79"/>
      <c r="J412" s="80" t="s">
        <v>366</v>
      </c>
      <c r="K412" s="79" t="n">
        <v>1</v>
      </c>
      <c r="L412" s="79" t="s">
        <v>34</v>
      </c>
      <c r="M412" s="100" t="n">
        <v>342982000</v>
      </c>
      <c r="N412" s="81" t="n">
        <f aca="false">K412*M412</f>
        <v>342982000</v>
      </c>
      <c r="O412" s="84"/>
      <c r="P412" s="105"/>
      <c r="Q412" s="105"/>
      <c r="R412" s="188" t="n">
        <f aca="false">F412-N412</f>
        <v>20000000</v>
      </c>
      <c r="S412" s="102"/>
      <c r="T412" s="52" t="n">
        <f aca="false">N412-F412</f>
        <v>-20000000</v>
      </c>
      <c r="V412" s="88" t="n">
        <v>121467110</v>
      </c>
    </row>
    <row r="413" customFormat="false" ht="30" hidden="false" customHeight="true" outlineLevel="1" collapsed="false">
      <c r="A413" s="70" t="n">
        <v>522112</v>
      </c>
      <c r="B413" s="71" t="s">
        <v>367</v>
      </c>
      <c r="C413" s="70"/>
      <c r="D413" s="70"/>
      <c r="E413" s="72"/>
      <c r="F413" s="73" t="n">
        <f aca="false">SUM(F415)</f>
        <v>8400000</v>
      </c>
      <c r="G413" s="74"/>
      <c r="H413" s="75"/>
      <c r="I413" s="70" t="n">
        <v>522112</v>
      </c>
      <c r="J413" s="71" t="s">
        <v>367</v>
      </c>
      <c r="K413" s="70"/>
      <c r="L413" s="70"/>
      <c r="M413" s="72"/>
      <c r="N413" s="73" t="n">
        <f aca="false">SUM(N415)</f>
        <v>8400000</v>
      </c>
      <c r="O413" s="76"/>
      <c r="P413" s="18"/>
      <c r="Q413" s="18"/>
      <c r="R413" s="18"/>
      <c r="S413" s="17"/>
      <c r="T413" s="18"/>
      <c r="V413" s="27" t="n">
        <v>5073991</v>
      </c>
    </row>
    <row r="414" customFormat="false" ht="30" hidden="false" customHeight="true" outlineLevel="1" collapsed="false">
      <c r="A414" s="70"/>
      <c r="B414" s="77" t="s">
        <v>32</v>
      </c>
      <c r="C414" s="70"/>
      <c r="D414" s="70"/>
      <c r="E414" s="72"/>
      <c r="F414" s="73"/>
      <c r="G414" s="74"/>
      <c r="H414" s="75"/>
      <c r="I414" s="70"/>
      <c r="J414" s="77" t="s">
        <v>32</v>
      </c>
      <c r="K414" s="70"/>
      <c r="L414" s="70"/>
      <c r="M414" s="72"/>
      <c r="N414" s="73"/>
      <c r="O414" s="78"/>
      <c r="P414" s="18"/>
      <c r="Q414" s="18"/>
      <c r="R414" s="18"/>
      <c r="S414" s="17"/>
      <c r="T414" s="18"/>
    </row>
    <row r="415" customFormat="false" ht="30" hidden="false" customHeight="true" outlineLevel="1" collapsed="false">
      <c r="A415" s="70"/>
      <c r="B415" s="77" t="s">
        <v>368</v>
      </c>
      <c r="C415" s="70" t="n">
        <v>12</v>
      </c>
      <c r="D415" s="70" t="s">
        <v>69</v>
      </c>
      <c r="E415" s="72" t="n">
        <v>700000</v>
      </c>
      <c r="F415" s="73" t="n">
        <f aca="false">C415*E415</f>
        <v>8400000</v>
      </c>
      <c r="G415" s="98"/>
      <c r="H415" s="99"/>
      <c r="I415" s="70"/>
      <c r="J415" s="77" t="s">
        <v>368</v>
      </c>
      <c r="K415" s="70" t="n">
        <v>12</v>
      </c>
      <c r="L415" s="70" t="s">
        <v>69</v>
      </c>
      <c r="M415" s="72" t="n">
        <v>700000</v>
      </c>
      <c r="N415" s="73" t="n">
        <f aca="false">K415*M415</f>
        <v>8400000</v>
      </c>
      <c r="O415" s="97"/>
      <c r="P415" s="16"/>
      <c r="Q415" s="16"/>
      <c r="R415" s="16"/>
      <c r="S415" s="87"/>
      <c r="T415" s="18"/>
      <c r="V415" s="88" t="n">
        <v>5073991</v>
      </c>
    </row>
    <row r="416" customFormat="false" ht="30" hidden="false" customHeight="true" outlineLevel="1" collapsed="false">
      <c r="A416" s="70" t="n">
        <v>522113</v>
      </c>
      <c r="B416" s="71" t="s">
        <v>369</v>
      </c>
      <c r="C416" s="70"/>
      <c r="D416" s="70"/>
      <c r="E416" s="72"/>
      <c r="F416" s="73" t="n">
        <f aca="false">SUM(F418)</f>
        <v>36000000</v>
      </c>
      <c r="G416" s="74"/>
      <c r="H416" s="75"/>
      <c r="I416" s="70" t="n">
        <v>522113</v>
      </c>
      <c r="J416" s="71" t="s">
        <v>369</v>
      </c>
      <c r="K416" s="70"/>
      <c r="L416" s="70"/>
      <c r="M416" s="72"/>
      <c r="N416" s="73" t="n">
        <f aca="false">SUM(N418)</f>
        <v>36000000</v>
      </c>
      <c r="O416" s="76"/>
      <c r="P416" s="18"/>
      <c r="Q416" s="18"/>
      <c r="R416" s="18"/>
      <c r="S416" s="17"/>
      <c r="T416" s="18"/>
      <c r="V416" s="27" t="n">
        <v>25803730</v>
      </c>
    </row>
    <row r="417" customFormat="false" ht="30" hidden="false" customHeight="true" outlineLevel="1" collapsed="false">
      <c r="A417" s="70"/>
      <c r="B417" s="77" t="s">
        <v>32</v>
      </c>
      <c r="C417" s="70"/>
      <c r="D417" s="70"/>
      <c r="E417" s="72"/>
      <c r="F417" s="73"/>
      <c r="G417" s="74"/>
      <c r="H417" s="75"/>
      <c r="I417" s="70"/>
      <c r="J417" s="77" t="s">
        <v>32</v>
      </c>
      <c r="K417" s="70"/>
      <c r="L417" s="70"/>
      <c r="M417" s="72"/>
      <c r="N417" s="73"/>
      <c r="O417" s="78"/>
      <c r="P417" s="18"/>
      <c r="Q417" s="18"/>
      <c r="R417" s="18"/>
      <c r="S417" s="17"/>
      <c r="T417" s="18"/>
    </row>
    <row r="418" customFormat="false" ht="30" hidden="false" customHeight="true" outlineLevel="1" collapsed="false">
      <c r="A418" s="70"/>
      <c r="B418" s="77" t="s">
        <v>370</v>
      </c>
      <c r="C418" s="70" t="n">
        <v>12</v>
      </c>
      <c r="D418" s="70" t="s">
        <v>69</v>
      </c>
      <c r="E418" s="72" t="n">
        <v>3000000</v>
      </c>
      <c r="F418" s="73" t="n">
        <f aca="false">C418*E418</f>
        <v>36000000</v>
      </c>
      <c r="G418" s="98"/>
      <c r="H418" s="99"/>
      <c r="I418" s="70"/>
      <c r="J418" s="77" t="s">
        <v>370</v>
      </c>
      <c r="K418" s="70" t="n">
        <v>1</v>
      </c>
      <c r="L418" s="70" t="s">
        <v>34</v>
      </c>
      <c r="M418" s="72" t="n">
        <v>28000000</v>
      </c>
      <c r="N418" s="73" t="n">
        <v>36000000</v>
      </c>
      <c r="O418" s="97"/>
      <c r="P418" s="16"/>
      <c r="Q418" s="16"/>
      <c r="R418" s="16"/>
      <c r="S418" s="87"/>
      <c r="T418" s="18"/>
      <c r="V418" s="88" t="n">
        <v>25803730</v>
      </c>
    </row>
    <row r="419" customFormat="false" ht="30" hidden="false" customHeight="true" outlineLevel="1" collapsed="false">
      <c r="A419" s="70" t="n">
        <v>522119</v>
      </c>
      <c r="B419" s="71" t="s">
        <v>371</v>
      </c>
      <c r="C419" s="70"/>
      <c r="D419" s="70"/>
      <c r="E419" s="72"/>
      <c r="F419" s="73" t="n">
        <f aca="false">SUM(F421)</f>
        <v>308400000</v>
      </c>
      <c r="G419" s="74"/>
      <c r="H419" s="75"/>
      <c r="I419" s="70" t="n">
        <v>522119</v>
      </c>
      <c r="J419" s="71" t="s">
        <v>371</v>
      </c>
      <c r="K419" s="70"/>
      <c r="L419" s="70"/>
      <c r="M419" s="72"/>
      <c r="N419" s="73" t="n">
        <f aca="false">SUM(N421)</f>
        <v>294400000</v>
      </c>
      <c r="O419" s="76"/>
      <c r="P419" s="18"/>
      <c r="Q419" s="18"/>
      <c r="R419" s="18"/>
      <c r="S419" s="17"/>
      <c r="T419" s="18"/>
      <c r="V419" s="27" t="n">
        <v>88120500</v>
      </c>
    </row>
    <row r="420" customFormat="false" ht="30" hidden="false" customHeight="true" outlineLevel="1" collapsed="false">
      <c r="A420" s="70"/>
      <c r="B420" s="77" t="s">
        <v>32</v>
      </c>
      <c r="C420" s="70"/>
      <c r="D420" s="70"/>
      <c r="E420" s="72"/>
      <c r="F420" s="73"/>
      <c r="G420" s="74"/>
      <c r="H420" s="75"/>
      <c r="I420" s="70"/>
      <c r="J420" s="77" t="s">
        <v>32</v>
      </c>
      <c r="K420" s="70"/>
      <c r="L420" s="70"/>
      <c r="M420" s="72"/>
      <c r="N420" s="73"/>
      <c r="O420" s="78"/>
      <c r="P420" s="18"/>
      <c r="Q420" s="18"/>
      <c r="R420" s="18"/>
      <c r="S420" s="17"/>
      <c r="T420" s="18"/>
    </row>
    <row r="421" customFormat="false" ht="30" hidden="false" customHeight="true" outlineLevel="1" collapsed="false">
      <c r="A421" s="79"/>
      <c r="B421" s="80" t="s">
        <v>372</v>
      </c>
      <c r="C421" s="79" t="n">
        <v>12</v>
      </c>
      <c r="D421" s="79" t="s">
        <v>69</v>
      </c>
      <c r="E421" s="100" t="n">
        <v>25700000</v>
      </c>
      <c r="F421" s="81" t="n">
        <f aca="false">C421*E421</f>
        <v>308400000</v>
      </c>
      <c r="G421" s="82" t="s">
        <v>279</v>
      </c>
      <c r="H421" s="83"/>
      <c r="I421" s="79"/>
      <c r="J421" s="80" t="s">
        <v>372</v>
      </c>
      <c r="K421" s="79" t="n">
        <v>1</v>
      </c>
      <c r="L421" s="79" t="s">
        <v>34</v>
      </c>
      <c r="M421" s="100" t="n">
        <v>294400000</v>
      </c>
      <c r="N421" s="81" t="n">
        <f aca="false">K421*M421</f>
        <v>294400000</v>
      </c>
      <c r="O421" s="84"/>
      <c r="P421" s="105"/>
      <c r="Q421" s="105"/>
      <c r="R421" s="188" t="n">
        <f aca="false">F421-N421</f>
        <v>14000000</v>
      </c>
      <c r="S421" s="102"/>
      <c r="T421" s="52" t="n">
        <f aca="false">N421-F421</f>
        <v>-14000000</v>
      </c>
      <c r="V421" s="88" t="n">
        <v>88120500</v>
      </c>
    </row>
    <row r="422" customFormat="false" ht="23.25" hidden="false" customHeight="true" outlineLevel="0" collapsed="false">
      <c r="A422" s="62" t="s">
        <v>120</v>
      </c>
      <c r="B422" s="63" t="s">
        <v>373</v>
      </c>
      <c r="C422" s="64"/>
      <c r="D422" s="64"/>
      <c r="E422" s="65"/>
      <c r="F422" s="66" t="n">
        <f aca="false">SUM(F425:F426)</f>
        <v>2500000</v>
      </c>
      <c r="G422" s="67"/>
      <c r="H422" s="48"/>
      <c r="I422" s="62" t="s">
        <v>120</v>
      </c>
      <c r="J422" s="63" t="s">
        <v>373</v>
      </c>
      <c r="K422" s="64"/>
      <c r="L422" s="64"/>
      <c r="M422" s="65"/>
      <c r="N422" s="66" t="n">
        <f aca="false">SUM(N425:N426)</f>
        <v>2500000</v>
      </c>
      <c r="O422" s="68"/>
      <c r="P422" s="69"/>
      <c r="Q422" s="69"/>
      <c r="R422" s="69"/>
      <c r="S422" s="17"/>
      <c r="T422" s="18"/>
      <c r="V422" s="27" t="n">
        <v>1000</v>
      </c>
    </row>
    <row r="423" customFormat="false" ht="30" hidden="false" customHeight="true" outlineLevel="1" collapsed="false">
      <c r="A423" s="70" t="n">
        <v>521811</v>
      </c>
      <c r="B423" s="71" t="s">
        <v>330</v>
      </c>
      <c r="C423" s="70"/>
      <c r="D423" s="70"/>
      <c r="E423" s="72"/>
      <c r="F423" s="73" t="n">
        <f aca="false">SUM(F498:F498)</f>
        <v>0</v>
      </c>
      <c r="G423" s="74"/>
      <c r="H423" s="75"/>
      <c r="I423" s="70" t="n">
        <v>521811</v>
      </c>
      <c r="J423" s="71" t="s">
        <v>330</v>
      </c>
      <c r="K423" s="70"/>
      <c r="L423" s="70"/>
      <c r="M423" s="72"/>
      <c r="N423" s="73" t="n">
        <f aca="false">SUM(N498:N498)</f>
        <v>0</v>
      </c>
      <c r="O423" s="76"/>
      <c r="P423" s="18"/>
      <c r="Q423" s="18"/>
      <c r="R423" s="18"/>
      <c r="S423" s="17"/>
      <c r="T423" s="18"/>
      <c r="V423" s="27" t="n">
        <v>1000</v>
      </c>
    </row>
    <row r="424" customFormat="false" ht="30" hidden="false" customHeight="true" outlineLevel="1" collapsed="false">
      <c r="A424" s="70"/>
      <c r="B424" s="77" t="s">
        <v>32</v>
      </c>
      <c r="C424" s="70"/>
      <c r="D424" s="70"/>
      <c r="E424" s="72"/>
      <c r="F424" s="73"/>
      <c r="G424" s="74"/>
      <c r="H424" s="75"/>
      <c r="I424" s="70"/>
      <c r="J424" s="77" t="s">
        <v>32</v>
      </c>
      <c r="K424" s="70"/>
      <c r="L424" s="70"/>
      <c r="M424" s="72"/>
      <c r="N424" s="73"/>
      <c r="O424" s="78"/>
      <c r="P424" s="18"/>
      <c r="Q424" s="18"/>
      <c r="R424" s="18"/>
      <c r="S424" s="17"/>
      <c r="T424" s="18"/>
    </row>
    <row r="425" customFormat="false" ht="30" hidden="false" customHeight="true" outlineLevel="1" collapsed="false">
      <c r="A425" s="70"/>
      <c r="B425" s="77" t="s">
        <v>374</v>
      </c>
      <c r="C425" s="70" t="n">
        <v>1</v>
      </c>
      <c r="D425" s="70" t="s">
        <v>55</v>
      </c>
      <c r="E425" s="72" t="n">
        <v>1500000</v>
      </c>
      <c r="F425" s="73" t="n">
        <f aca="false">C425*E425</f>
        <v>1500000</v>
      </c>
      <c r="G425" s="98"/>
      <c r="H425" s="99"/>
      <c r="I425" s="70"/>
      <c r="J425" s="77" t="s">
        <v>374</v>
      </c>
      <c r="K425" s="70" t="n">
        <v>1</v>
      </c>
      <c r="L425" s="70" t="s">
        <v>55</v>
      </c>
      <c r="M425" s="72" t="n">
        <v>1500000</v>
      </c>
      <c r="N425" s="73" t="n">
        <f aca="false">K425*M425</f>
        <v>1500000</v>
      </c>
      <c r="O425" s="97"/>
      <c r="P425" s="16"/>
      <c r="Q425" s="16"/>
      <c r="R425" s="16"/>
      <c r="S425" s="87"/>
      <c r="T425" s="18"/>
      <c r="V425" s="88" t="n">
        <v>1000</v>
      </c>
    </row>
    <row r="426" customFormat="false" ht="30" hidden="false" customHeight="true" outlineLevel="1" collapsed="false">
      <c r="A426" s="70"/>
      <c r="B426" s="77" t="s">
        <v>375</v>
      </c>
      <c r="C426" s="70" t="n">
        <v>100</v>
      </c>
      <c r="D426" s="70" t="s">
        <v>104</v>
      </c>
      <c r="E426" s="72" t="n">
        <v>10000</v>
      </c>
      <c r="F426" s="73" t="n">
        <f aca="false">C426*E426</f>
        <v>1000000</v>
      </c>
      <c r="G426" s="98"/>
      <c r="H426" s="99"/>
      <c r="I426" s="70"/>
      <c r="J426" s="77" t="s">
        <v>375</v>
      </c>
      <c r="K426" s="70" t="n">
        <v>100</v>
      </c>
      <c r="L426" s="70" t="s">
        <v>104</v>
      </c>
      <c r="M426" s="72" t="n">
        <v>10000</v>
      </c>
      <c r="N426" s="73" t="n">
        <f aca="false">K426*M426</f>
        <v>1000000</v>
      </c>
      <c r="O426" s="97"/>
      <c r="P426" s="16"/>
      <c r="Q426" s="16"/>
      <c r="R426" s="16"/>
      <c r="S426" s="87"/>
      <c r="T426" s="18"/>
      <c r="V426" s="88" t="n">
        <v>0</v>
      </c>
    </row>
    <row r="427" customFormat="false" ht="23.25" hidden="false" customHeight="true" outlineLevel="0" collapsed="false">
      <c r="A427" s="62" t="s">
        <v>376</v>
      </c>
      <c r="B427" s="63" t="s">
        <v>377</v>
      </c>
      <c r="C427" s="64"/>
      <c r="D427" s="64"/>
      <c r="E427" s="65"/>
      <c r="F427" s="66" t="n">
        <f aca="false">SUM(F428)</f>
        <v>106458000</v>
      </c>
      <c r="G427" s="67"/>
      <c r="H427" s="48"/>
      <c r="I427" s="62" t="s">
        <v>376</v>
      </c>
      <c r="J427" s="63" t="s">
        <v>377</v>
      </c>
      <c r="K427" s="64"/>
      <c r="L427" s="64"/>
      <c r="M427" s="65"/>
      <c r="N427" s="66" t="n">
        <f aca="false">SUM(N428)</f>
        <v>106458000</v>
      </c>
      <c r="O427" s="68"/>
      <c r="P427" s="69"/>
      <c r="Q427" s="69"/>
      <c r="R427" s="69"/>
      <c r="S427" s="17"/>
      <c r="T427" s="18"/>
      <c r="V427" s="27" t="n">
        <v>198000</v>
      </c>
    </row>
    <row r="428" customFormat="false" ht="30" hidden="false" customHeight="true" outlineLevel="1" collapsed="false">
      <c r="A428" s="70" t="n">
        <v>521119</v>
      </c>
      <c r="B428" s="71" t="s">
        <v>53</v>
      </c>
      <c r="C428" s="70"/>
      <c r="D428" s="70"/>
      <c r="E428" s="72"/>
      <c r="F428" s="73" t="n">
        <f aca="false">SUM(F430)</f>
        <v>106458000</v>
      </c>
      <c r="G428" s="74"/>
      <c r="H428" s="75"/>
      <c r="I428" s="70" t="n">
        <v>521119</v>
      </c>
      <c r="J428" s="71" t="s">
        <v>53</v>
      </c>
      <c r="K428" s="70"/>
      <c r="L428" s="70"/>
      <c r="M428" s="72"/>
      <c r="N428" s="73" t="n">
        <f aca="false">SUM(N430)</f>
        <v>106458000</v>
      </c>
      <c r="O428" s="76"/>
      <c r="P428" s="18"/>
      <c r="Q428" s="18"/>
      <c r="R428" s="18"/>
      <c r="S428" s="17"/>
      <c r="T428" s="18"/>
      <c r="V428" s="27" t="n">
        <v>198000</v>
      </c>
    </row>
    <row r="429" customFormat="false" ht="30" hidden="false" customHeight="true" outlineLevel="1" collapsed="false">
      <c r="A429" s="70"/>
      <c r="B429" s="77" t="s">
        <v>32</v>
      </c>
      <c r="C429" s="70"/>
      <c r="D429" s="70"/>
      <c r="E429" s="72"/>
      <c r="F429" s="73"/>
      <c r="G429" s="74"/>
      <c r="H429" s="75"/>
      <c r="I429" s="70"/>
      <c r="J429" s="77" t="s">
        <v>32</v>
      </c>
      <c r="K429" s="70"/>
      <c r="L429" s="70"/>
      <c r="M429" s="72"/>
      <c r="N429" s="73"/>
      <c r="O429" s="78"/>
      <c r="P429" s="18"/>
      <c r="Q429" s="18"/>
      <c r="R429" s="18"/>
      <c r="S429" s="17"/>
      <c r="T429" s="18"/>
    </row>
    <row r="430" customFormat="false" ht="30" hidden="false" customHeight="true" outlineLevel="1" collapsed="false">
      <c r="A430" s="70"/>
      <c r="B430" s="77" t="s">
        <v>378</v>
      </c>
      <c r="C430" s="70" t="n">
        <v>66</v>
      </c>
      <c r="D430" s="70" t="s">
        <v>49</v>
      </c>
      <c r="E430" s="72" t="n">
        <v>1613000</v>
      </c>
      <c r="F430" s="73" t="n">
        <f aca="false">C430*E430</f>
        <v>106458000</v>
      </c>
      <c r="G430" s="98"/>
      <c r="H430" s="99"/>
      <c r="I430" s="70"/>
      <c r="J430" s="77" t="s">
        <v>378</v>
      </c>
      <c r="K430" s="70" t="n">
        <v>66</v>
      </c>
      <c r="L430" s="70" t="s">
        <v>49</v>
      </c>
      <c r="M430" s="72" t="n">
        <v>1613000</v>
      </c>
      <c r="N430" s="73" t="n">
        <f aca="false">K430*M430</f>
        <v>106458000</v>
      </c>
      <c r="O430" s="97"/>
      <c r="P430" s="16"/>
      <c r="Q430" s="16"/>
      <c r="R430" s="16"/>
      <c r="S430" s="87"/>
      <c r="T430" s="18"/>
      <c r="V430" s="88" t="n">
        <v>198000</v>
      </c>
    </row>
    <row r="431" customFormat="false" ht="24.75" hidden="false" customHeight="true" outlineLevel="0" collapsed="false">
      <c r="A431" s="223"/>
      <c r="B431" s="224"/>
      <c r="C431" s="225"/>
      <c r="D431" s="225"/>
      <c r="E431" s="225"/>
      <c r="F431" s="225"/>
      <c r="G431" s="226"/>
      <c r="H431" s="227"/>
      <c r="I431" s="223"/>
      <c r="J431" s="224"/>
      <c r="K431" s="225" t="s">
        <v>379</v>
      </c>
      <c r="L431" s="225"/>
      <c r="M431" s="225"/>
      <c r="N431" s="225"/>
      <c r="O431" s="226"/>
    </row>
    <row r="432" customFormat="false" ht="26.25" hidden="false" customHeight="true" outlineLevel="0" collapsed="false">
      <c r="A432" s="228"/>
      <c r="C432" s="229" t="s">
        <v>380</v>
      </c>
      <c r="D432" s="229"/>
      <c r="E432" s="229"/>
      <c r="F432" s="229"/>
      <c r="H432" s="2"/>
      <c r="I432" s="228"/>
      <c r="K432" s="230" t="s">
        <v>381</v>
      </c>
      <c r="L432" s="230"/>
      <c r="M432" s="230"/>
      <c r="N432" s="230"/>
      <c r="P432" s="231"/>
      <c r="Q432" s="231"/>
      <c r="R432" s="231"/>
    </row>
    <row r="433" customFormat="false" ht="123" hidden="false" customHeight="true" outlineLevel="0" collapsed="false">
      <c r="A433" s="228"/>
      <c r="C433" s="232"/>
      <c r="D433" s="232"/>
      <c r="E433" s="233"/>
      <c r="F433" s="230"/>
      <c r="I433" s="228"/>
      <c r="K433" s="232"/>
      <c r="L433" s="232"/>
      <c r="M433" s="233"/>
      <c r="N433" s="230"/>
      <c r="P433" s="231"/>
      <c r="Q433" s="231"/>
      <c r="R433" s="231"/>
      <c r="T433" s="234"/>
    </row>
    <row r="434" customFormat="false" ht="21.75" hidden="false" customHeight="true" outlineLevel="0" collapsed="false">
      <c r="A434" s="228"/>
      <c r="C434" s="232"/>
      <c r="D434" s="232"/>
      <c r="E434" s="233"/>
      <c r="F434" s="230"/>
      <c r="I434" s="228"/>
      <c r="K434" s="232"/>
      <c r="L434" s="225" t="s">
        <v>382</v>
      </c>
      <c r="M434" s="225"/>
      <c r="N434" s="225"/>
      <c r="O434" s="235"/>
    </row>
    <row r="435" customFormat="false" ht="19.5" hidden="false" customHeight="true" outlineLevel="0" collapsed="false">
      <c r="A435" s="228"/>
      <c r="C435" s="225"/>
      <c r="D435" s="225"/>
      <c r="E435" s="225"/>
      <c r="F435" s="225"/>
      <c r="I435" s="228"/>
      <c r="L435" s="236" t="s">
        <v>383</v>
      </c>
      <c r="M435" s="236"/>
      <c r="N435" s="236"/>
      <c r="O435" s="232"/>
    </row>
    <row r="436" customFormat="false" ht="24.75" hidden="false" customHeight="true" outlineLevel="0" collapsed="false">
      <c r="A436" s="228"/>
      <c r="C436" s="236"/>
      <c r="D436" s="236"/>
      <c r="E436" s="236"/>
      <c r="F436" s="236"/>
      <c r="I436" s="228"/>
    </row>
    <row r="437" customFormat="false" ht="24.75" hidden="false" customHeight="true" outlineLevel="0" collapsed="false"/>
    <row r="438" customFormat="false" ht="24.75" hidden="false" customHeight="true" outlineLevel="0" collapsed="false"/>
    <row r="439" customFormat="false" ht="24.75" hidden="false" customHeight="true" outlineLevel="0" collapsed="false"/>
    <row r="440" customFormat="false" ht="24.75" hidden="false" customHeight="true" outlineLevel="0" collapsed="false"/>
    <row r="441" customFormat="false" ht="24.75" hidden="false" customHeight="true" outlineLevel="0" collapsed="false"/>
    <row r="442" customFormat="false" ht="24.75" hidden="false" customHeight="true" outlineLevel="0" collapsed="false"/>
    <row r="443" customFormat="false" ht="24.75" hidden="false" customHeight="true" outlineLevel="0" collapsed="false"/>
    <row r="444" customFormat="false" ht="24.75" hidden="false" customHeight="true" outlineLevel="0" collapsed="false"/>
    <row r="445" customFormat="false" ht="24.75" hidden="false" customHeight="true" outlineLevel="0" collapsed="false"/>
    <row r="446" customFormat="false" ht="24.75" hidden="false" customHeight="true" outlineLevel="0" collapsed="false"/>
    <row r="447" customFormat="false" ht="24.75" hidden="false" customHeight="true" outlineLevel="0" collapsed="false"/>
    <row r="448" customFormat="false" ht="24.75" hidden="false" customHeight="true" outlineLevel="0" collapsed="false"/>
    <row r="449" customFormat="false" ht="24.75" hidden="false" customHeight="true" outlineLevel="0" collapsed="false"/>
    <row r="450" customFormat="false" ht="24.75" hidden="false" customHeight="true" outlineLevel="0" collapsed="false"/>
    <row r="451" customFormat="false" ht="24.75" hidden="false" customHeight="true" outlineLevel="0" collapsed="false"/>
    <row r="452" customFormat="false" ht="24.75" hidden="false" customHeight="true" outlineLevel="0" collapsed="false"/>
    <row r="453" customFormat="false" ht="24.75" hidden="false" customHeight="true" outlineLevel="0" collapsed="false"/>
    <row r="454" customFormat="false" ht="33.75" hidden="false" customHeight="true" outlineLevel="0" collapsed="false"/>
    <row r="455" customFormat="false" ht="24.75" hidden="false" customHeight="true" outlineLevel="0" collapsed="false"/>
    <row r="456" customFormat="false" ht="24.75" hidden="false" customHeight="true" outlineLevel="0" collapsed="false"/>
    <row r="457" customFormat="false" ht="24.75" hidden="false" customHeight="true" outlineLevel="0" collapsed="false"/>
    <row r="458" customFormat="false" ht="24.75" hidden="false" customHeight="true" outlineLevel="0" collapsed="false"/>
    <row r="459" customFormat="false" ht="24.75" hidden="false" customHeight="true" outlineLevel="0" collapsed="false"/>
    <row r="460" customFormat="false" ht="20.25" hidden="false" customHeight="true" outlineLevel="0" collapsed="false"/>
    <row r="461" customFormat="false" ht="20.25" hidden="false" customHeight="true" outlineLevel="0" collapsed="false"/>
    <row r="462" customFormat="false" ht="20.25" hidden="false" customHeight="true" outlineLevel="0" collapsed="false"/>
    <row r="463" customFormat="false" ht="24.75" hidden="false" customHeight="true" outlineLevel="0" collapsed="false"/>
    <row r="464" customFormat="false" ht="24.75" hidden="false" customHeight="true" outlineLevel="0" collapsed="false"/>
    <row r="465" customFormat="false" ht="33" hidden="false" customHeight="true" outlineLevel="0" collapsed="false"/>
    <row r="466" customFormat="false" ht="24.75" hidden="false" customHeight="true" outlineLevel="0" collapsed="false"/>
    <row r="467" customFormat="false" ht="24.75" hidden="false" customHeight="true" outlineLevel="0" collapsed="false"/>
    <row r="468" customFormat="false" ht="24.75" hidden="false" customHeight="true" outlineLevel="0" collapsed="false"/>
    <row r="469" customFormat="false" ht="24.75" hidden="false" customHeight="true" outlineLevel="0" collapsed="false"/>
    <row r="470" customFormat="false" ht="24.75" hidden="false" customHeight="true" outlineLevel="0" collapsed="false"/>
    <row r="471" customFormat="false" ht="24.75" hidden="false" customHeight="true" outlineLevel="0" collapsed="false"/>
    <row r="472" customFormat="false" ht="24.75" hidden="false" customHeight="true" outlineLevel="0" collapsed="false"/>
    <row r="473" customFormat="false" ht="24.75" hidden="false" customHeight="true" outlineLevel="0" collapsed="false"/>
    <row r="474" customFormat="false" ht="24.75" hidden="false" customHeight="true" outlineLevel="0" collapsed="false"/>
    <row r="475" customFormat="false" ht="24.75" hidden="false" customHeight="true" outlineLevel="0" collapsed="false"/>
    <row r="476" customFormat="false" ht="24.75" hidden="false" customHeight="true" outlineLevel="0" collapsed="false"/>
    <row r="477" customFormat="false" ht="24.75" hidden="false" customHeight="true" outlineLevel="0" collapsed="false"/>
    <row r="478" customFormat="false" ht="24.75" hidden="false" customHeight="true" outlineLevel="0" collapsed="false"/>
    <row r="479" customFormat="false" ht="24.75" hidden="false" customHeight="true" outlineLevel="0" collapsed="false"/>
    <row r="480" customFormat="false" ht="24.75" hidden="false" customHeight="true" outlineLevel="0" collapsed="false"/>
    <row r="481" customFormat="false" ht="24.75" hidden="false" customHeight="true" outlineLevel="0" collapsed="false"/>
    <row r="482" customFormat="false" ht="24.75" hidden="false" customHeight="true" outlineLevel="0" collapsed="false"/>
    <row r="483" customFormat="false" ht="24.75" hidden="false" customHeight="true" outlineLevel="0" collapsed="false"/>
    <row r="484" customFormat="false" ht="24.75" hidden="false" customHeight="true" outlineLevel="0" collapsed="false"/>
    <row r="485" customFormat="false" ht="24.75" hidden="false" customHeight="true" outlineLevel="0" collapsed="false"/>
    <row r="486" customFormat="false" ht="24.75" hidden="false" customHeight="true" outlineLevel="0" collapsed="false"/>
    <row r="487" customFormat="false" ht="24.75" hidden="false" customHeight="true" outlineLevel="0" collapsed="false"/>
    <row r="488" customFormat="false" ht="24.75" hidden="false" customHeight="true" outlineLevel="0" collapsed="false"/>
    <row r="489" customFormat="false" ht="24.75" hidden="false" customHeight="true" outlineLevel="0" collapsed="false"/>
    <row r="490" customFormat="false" ht="24.75" hidden="false" customHeight="true" outlineLevel="0" collapsed="false"/>
    <row r="491" customFormat="false" ht="30" hidden="false" customHeight="true" outlineLevel="0" collapsed="false"/>
    <row r="492" customFormat="false" ht="24.75" hidden="false" customHeight="true" outlineLevel="0" collapsed="false"/>
    <row r="493" customFormat="false" ht="23.25" hidden="false" customHeight="true" outlineLevel="0" collapsed="false"/>
    <row r="494" customFormat="false" ht="24.75" hidden="false" customHeight="true" outlineLevel="0" collapsed="false"/>
    <row r="495" customFormat="false" ht="24.75" hidden="false" customHeight="true" outlineLevel="0" collapsed="false"/>
    <row r="496" customFormat="false" ht="24.75" hidden="false" customHeight="true" outlineLevel="0" collapsed="false"/>
    <row r="497" customFormat="false" ht="24.75" hidden="false" customHeight="true" outlineLevel="0" collapsed="false"/>
    <row r="498" customFormat="false" ht="24.75" hidden="false" customHeight="true" outlineLevel="0" collapsed="false"/>
    <row r="499" customFormat="false" ht="24.75" hidden="false" customHeight="true" outlineLevel="0" collapsed="false"/>
    <row r="500" customFormat="false" ht="24.75" hidden="false" customHeight="true" outlineLevel="0" collapsed="false"/>
    <row r="501" customFormat="false" ht="24.75" hidden="false" customHeight="true" outlineLevel="0" collapsed="false"/>
    <row r="502" customFormat="false" ht="24.75" hidden="false" customHeight="true" outlineLevel="0" collapsed="false"/>
    <row r="503" customFormat="false" ht="24.75" hidden="false" customHeight="true" outlineLevel="0" collapsed="false"/>
    <row r="504" customFormat="false" ht="24.75" hidden="false" customHeight="true" outlineLevel="0" collapsed="false"/>
    <row r="505" customFormat="false" ht="24.75" hidden="false" customHeight="true" outlineLevel="0" collapsed="false"/>
    <row r="506" customFormat="false" ht="24.75" hidden="false" customHeight="true" outlineLevel="0" collapsed="false"/>
    <row r="507" customFormat="false" ht="24.75" hidden="false" customHeight="true" outlineLevel="0" collapsed="false"/>
    <row r="508" customFormat="false" ht="24.75" hidden="false" customHeight="true" outlineLevel="0" collapsed="false"/>
    <row r="509" customFormat="false" ht="24.75" hidden="false" customHeight="true" outlineLevel="0" collapsed="false"/>
    <row r="510" customFormat="false" ht="24.75" hidden="false" customHeight="true" outlineLevel="0" collapsed="false"/>
    <row r="511" customFormat="false" ht="24.75" hidden="false" customHeight="true" outlineLevel="0" collapsed="false"/>
    <row r="512" customFormat="false" ht="24.75" hidden="false" customHeight="true" outlineLevel="0" collapsed="false"/>
    <row r="513" customFormat="false" ht="24.75" hidden="false" customHeight="true" outlineLevel="0" collapsed="false"/>
    <row r="514" customFormat="false" ht="24.75" hidden="false" customHeight="true" outlineLevel="0" collapsed="false"/>
    <row r="515" customFormat="false" ht="24.75" hidden="false" customHeight="true" outlineLevel="0" collapsed="false"/>
    <row r="516" customFormat="false" ht="24.75" hidden="false" customHeight="true" outlineLevel="0" collapsed="false"/>
    <row r="517" customFormat="false" ht="24.75" hidden="false" customHeight="true" outlineLevel="0" collapsed="false"/>
    <row r="518" customFormat="false" ht="24.75" hidden="false" customHeight="true" outlineLevel="0" collapsed="false"/>
    <row r="519" customFormat="false" ht="24.75" hidden="false" customHeight="true" outlineLevel="0" collapsed="false"/>
    <row r="520" customFormat="false" ht="24.75" hidden="false" customHeight="true" outlineLevel="0" collapsed="false"/>
    <row r="521" customFormat="false" ht="24.75" hidden="false" customHeight="true" outlineLevel="0" collapsed="false"/>
    <row r="522" customFormat="false" ht="20.25" hidden="false" customHeight="true" outlineLevel="0" collapsed="false"/>
    <row r="523" customFormat="false" ht="20.25" hidden="false" customHeight="true" outlineLevel="0" collapsed="false"/>
    <row r="524" customFormat="false" ht="24.75" hidden="false" customHeight="true" outlineLevel="0" collapsed="false"/>
    <row r="525" customFormat="false" ht="24.75" hidden="false" customHeight="true" outlineLevel="0" collapsed="false"/>
    <row r="526" customFormat="false" ht="24.75" hidden="false" customHeight="true" outlineLevel="0" collapsed="false"/>
    <row r="527" customFormat="false" ht="24.75" hidden="false" customHeight="true" outlineLevel="0" collapsed="false"/>
    <row r="528" customFormat="false" ht="24.75" hidden="false" customHeight="true" outlineLevel="0" collapsed="false"/>
    <row r="529" customFormat="false" ht="24.75" hidden="false" customHeight="true" outlineLevel="0" collapsed="false"/>
    <row r="530" customFormat="false" ht="24.75" hidden="false" customHeight="true" outlineLevel="0" collapsed="false"/>
    <row r="531" customFormat="false" ht="24.75" hidden="false" customHeight="true" outlineLevel="0" collapsed="false"/>
    <row r="532" customFormat="false" ht="34.5" hidden="false" customHeight="true" outlineLevel="0" collapsed="false"/>
    <row r="533" customFormat="false" ht="24.75" hidden="false" customHeight="true" outlineLevel="0" collapsed="false"/>
    <row r="534" customFormat="false" ht="24.75" hidden="false" customHeight="true" outlineLevel="0" collapsed="false"/>
    <row r="535" customFormat="false" ht="24.75" hidden="false" customHeight="true" outlineLevel="0" collapsed="false"/>
    <row r="536" customFormat="false" ht="24.75" hidden="false" customHeight="true" outlineLevel="0" collapsed="false"/>
    <row r="537" customFormat="false" ht="24.75" hidden="false" customHeight="true" outlineLevel="0" collapsed="false"/>
    <row r="538" customFormat="false" ht="37.5" hidden="false" customHeight="true" outlineLevel="0" collapsed="false"/>
    <row r="539" customFormat="false" ht="24.75" hidden="false" customHeight="true" outlineLevel="0" collapsed="false"/>
    <row r="540" customFormat="false" ht="24.75" hidden="false" customHeight="true" outlineLevel="0" collapsed="false"/>
    <row r="541" customFormat="false" ht="24.75" hidden="false" customHeight="true" outlineLevel="0" collapsed="false"/>
    <row r="542" customFormat="false" ht="24.75" hidden="false" customHeight="true" outlineLevel="0" collapsed="false"/>
    <row r="543" customFormat="false" ht="24.75" hidden="false" customHeight="true" outlineLevel="0" collapsed="false"/>
    <row r="544" customFormat="false" ht="24.75" hidden="false" customHeight="true" outlineLevel="0" collapsed="false"/>
    <row r="545" customFormat="false" ht="24.75" hidden="false" customHeight="true" outlineLevel="0" collapsed="false"/>
    <row r="546" customFormat="false" ht="24.75" hidden="false" customHeight="true" outlineLevel="0" collapsed="false"/>
    <row r="547" customFormat="false" ht="24.75" hidden="false" customHeight="true" outlineLevel="0" collapsed="false"/>
    <row r="548" customFormat="false" ht="24.75" hidden="false" customHeight="true" outlineLevel="0" collapsed="false"/>
    <row r="549" customFormat="false" ht="24.75" hidden="false" customHeight="true" outlineLevel="0" collapsed="false"/>
    <row r="550" customFormat="false" ht="24.75" hidden="false" customHeight="true" outlineLevel="0" collapsed="false"/>
    <row r="551" customFormat="false" ht="24.75" hidden="false" customHeight="true" outlineLevel="0" collapsed="false"/>
    <row r="552" customFormat="false" ht="24.75" hidden="false" customHeight="true" outlineLevel="0" collapsed="false"/>
    <row r="553" customFormat="false" ht="24.75" hidden="false" customHeight="true" outlineLevel="0" collapsed="false"/>
    <row r="554" customFormat="false" ht="24.75" hidden="false" customHeight="true" outlineLevel="0" collapsed="false"/>
    <row r="555" customFormat="false" ht="36.75" hidden="false" customHeight="true" outlineLevel="0" collapsed="false"/>
    <row r="556" customFormat="false" ht="24.75" hidden="false" customHeight="true" outlineLevel="0" collapsed="false"/>
    <row r="557" customFormat="false" ht="24.75" hidden="false" customHeight="true" outlineLevel="0" collapsed="false"/>
    <row r="558" customFormat="false" ht="33" hidden="false" customHeight="true" outlineLevel="0" collapsed="false"/>
    <row r="559" customFormat="false" ht="24.75" hidden="false" customHeight="true" outlineLevel="0" collapsed="false"/>
    <row r="560" customFormat="false" ht="24.75" hidden="false" customHeight="true" outlineLevel="0" collapsed="false"/>
    <row r="561" customFormat="false" ht="24.75" hidden="false" customHeight="true" outlineLevel="0" collapsed="false"/>
    <row r="562" customFormat="false" ht="24.75" hidden="false" customHeight="true" outlineLevel="0" collapsed="false"/>
    <row r="563" customFormat="false" ht="24.75" hidden="false" customHeight="true" outlineLevel="0" collapsed="false"/>
    <row r="564" customFormat="false" ht="24.75" hidden="false" customHeight="true" outlineLevel="0" collapsed="false"/>
    <row r="565" customFormat="false" ht="24.75" hidden="false" customHeight="true" outlineLevel="0" collapsed="false"/>
    <row r="566" customFormat="false" ht="24.75" hidden="false" customHeight="true" outlineLevel="0" collapsed="false"/>
    <row r="567" customFormat="false" ht="24.75" hidden="false" customHeight="true" outlineLevel="0" collapsed="false"/>
    <row r="568" customFormat="false" ht="24.75" hidden="false" customHeight="true" outlineLevel="0" collapsed="false"/>
    <row r="569" customFormat="false" ht="24.75" hidden="false" customHeight="true" outlineLevel="0" collapsed="false"/>
    <row r="570" customFormat="false" ht="24.75" hidden="false" customHeight="true" outlineLevel="0" collapsed="false"/>
    <row r="571" customFormat="false" ht="24.75" hidden="false" customHeight="true" outlineLevel="0" collapsed="false"/>
    <row r="572" customFormat="false" ht="24.75" hidden="false" customHeight="true" outlineLevel="0" collapsed="false"/>
    <row r="573" customFormat="false" ht="24.75" hidden="false" customHeight="true" outlineLevel="0" collapsed="false"/>
    <row r="574" customFormat="false" ht="24.75" hidden="false" customHeight="true" outlineLevel="0" collapsed="false"/>
    <row r="575" customFormat="false" ht="24.75" hidden="false" customHeight="true" outlineLevel="0" collapsed="false"/>
    <row r="576" customFormat="false" ht="24.75" hidden="false" customHeight="true" outlineLevel="0" collapsed="false"/>
    <row r="577" customFormat="false" ht="24.75" hidden="false" customHeight="true" outlineLevel="0" collapsed="false"/>
    <row r="578" customFormat="false" ht="24.75" hidden="false" customHeight="true" outlineLevel="0" collapsed="false"/>
    <row r="579" customFormat="false" ht="24.75" hidden="false" customHeight="true" outlineLevel="0" collapsed="false"/>
    <row r="580" customFormat="false" ht="24.75" hidden="false" customHeight="true" outlineLevel="0" collapsed="false"/>
    <row r="581" customFormat="false" ht="24.75" hidden="false" customHeight="true" outlineLevel="0" collapsed="false"/>
    <row r="582" customFormat="false" ht="24.75" hidden="false" customHeight="true" outlineLevel="0" collapsed="false"/>
    <row r="583" customFormat="false" ht="24.75" hidden="false" customHeight="true" outlineLevel="0" collapsed="false"/>
    <row r="584" customFormat="false" ht="24.75" hidden="false" customHeight="true" outlineLevel="0" collapsed="false"/>
    <row r="585" customFormat="false" ht="24.75" hidden="false" customHeight="true" outlineLevel="0" collapsed="false"/>
    <row r="586" customFormat="false" ht="24.75" hidden="false" customHeight="true" outlineLevel="0" collapsed="false"/>
    <row r="587" customFormat="false" ht="24.75" hidden="false" customHeight="true" outlineLevel="0" collapsed="false"/>
    <row r="588" customFormat="false" ht="24.75" hidden="false" customHeight="true" outlineLevel="0" collapsed="false"/>
    <row r="589" customFormat="false" ht="24.75" hidden="false" customHeight="true" outlineLevel="0" collapsed="false"/>
    <row r="590" customFormat="false" ht="24.75" hidden="false" customHeight="true" outlineLevel="0" collapsed="false"/>
    <row r="591" customFormat="false" ht="24.75" hidden="false" customHeight="true" outlineLevel="0" collapsed="false"/>
    <row r="592" customFormat="false" ht="24.75" hidden="false" customHeight="true" outlineLevel="0" collapsed="false"/>
    <row r="593" customFormat="false" ht="24.75" hidden="false" customHeight="true" outlineLevel="0" collapsed="false"/>
    <row r="594" customFormat="false" ht="24.75" hidden="false" customHeight="true" outlineLevel="0" collapsed="false"/>
    <row r="595" customFormat="false" ht="24.75" hidden="false" customHeight="true" outlineLevel="0" collapsed="false"/>
    <row r="596" customFormat="false" ht="24.75" hidden="false" customHeight="true" outlineLevel="0" collapsed="false"/>
    <row r="597" customFormat="false" ht="24.75" hidden="false" customHeight="true" outlineLevel="0" collapsed="false"/>
    <row r="598" customFormat="false" ht="24.75" hidden="false" customHeight="true" outlineLevel="0" collapsed="false"/>
    <row r="599" customFormat="false" ht="24.75" hidden="false" customHeight="true" outlineLevel="0" collapsed="false"/>
    <row r="600" customFormat="false" ht="24.75" hidden="false" customHeight="true" outlineLevel="0" collapsed="false"/>
    <row r="601" customFormat="false" ht="24.75" hidden="false" customHeight="true" outlineLevel="0" collapsed="false"/>
    <row r="602" customFormat="false" ht="13.5" hidden="false" customHeight="true" outlineLevel="0" collapsed="false"/>
    <row r="603" customFormat="false" ht="18.75" hidden="false" customHeight="true" outlineLevel="0" collapsed="false"/>
    <row r="604" customFormat="false" ht="18.75" hidden="false" customHeight="true" outlineLevel="0" collapsed="false"/>
    <row r="605" customFormat="false" ht="24.75" hidden="false" customHeight="true" outlineLevel="0" collapsed="false"/>
    <row r="606" customFormat="false" ht="24.75" hidden="false" customHeight="true" outlineLevel="0" collapsed="false"/>
    <row r="607" customFormat="false" ht="12.75" hidden="false" customHeight="true" outlineLevel="0" collapsed="false"/>
    <row r="608" customFormat="false" ht="6.75" hidden="false" customHeight="true" outlineLevel="0" collapsed="false"/>
    <row r="609" customFormat="false" ht="24.75" hidden="false" customHeight="true" outlineLevel="0" collapsed="false"/>
    <row r="610" customFormat="false" ht="24.75" hidden="false" customHeight="true" outlineLevel="0" collapsed="false"/>
    <row r="611" customFormat="false" ht="24.75" hidden="false" customHeight="true" outlineLevel="0" collapsed="false"/>
    <row r="612" customFormat="false" ht="24.75" hidden="false" customHeight="true" outlineLevel="0" collapsed="false"/>
    <row r="613" customFormat="false" ht="24.75" hidden="false" customHeight="true" outlineLevel="0" collapsed="false"/>
    <row r="614" customFormat="false" ht="24.75" hidden="false" customHeight="true" outlineLevel="0" collapsed="false"/>
    <row r="615" customFormat="false" ht="24.75" hidden="false" customHeight="true" outlineLevel="0" collapsed="false"/>
    <row r="616" customFormat="false" ht="24.75" hidden="false" customHeight="true" outlineLevel="0" collapsed="false"/>
    <row r="617" customFormat="false" ht="24.75" hidden="false" customHeight="true" outlineLevel="0" collapsed="false"/>
    <row r="618" customFormat="false" ht="24.75" hidden="false" customHeight="true" outlineLevel="0" collapsed="false"/>
    <row r="619" customFormat="false" ht="24.75" hidden="false" customHeight="true" outlineLevel="0" collapsed="false"/>
    <row r="620" customFormat="false" ht="24.75" hidden="false" customHeight="true" outlineLevel="0" collapsed="false"/>
    <row r="621" customFormat="false" ht="24.75" hidden="false" customHeight="true" outlineLevel="0" collapsed="false"/>
    <row r="622" customFormat="false" ht="24.75" hidden="false" customHeight="true" outlineLevel="0" collapsed="false"/>
    <row r="623" customFormat="false" ht="24.75" hidden="false" customHeight="true" outlineLevel="0" collapsed="false"/>
    <row r="624" customFormat="false" ht="24.75" hidden="false" customHeight="true" outlineLevel="0" collapsed="false"/>
    <row r="625" customFormat="false" ht="24.75" hidden="false" customHeight="true" outlineLevel="0" collapsed="false"/>
    <row r="626" customFormat="false" ht="24.75" hidden="false" customHeight="true" outlineLevel="0" collapsed="false"/>
    <row r="627" customFormat="false" ht="24.75" hidden="false" customHeight="true" outlineLevel="0" collapsed="false"/>
    <row r="628" customFormat="false" ht="24.75" hidden="false" customHeight="true" outlineLevel="0" collapsed="false"/>
    <row r="629" customFormat="false" ht="24.75" hidden="false" customHeight="true" outlineLevel="0" collapsed="false"/>
    <row r="630" customFormat="false" ht="24.75" hidden="false" customHeight="true" outlineLevel="0" collapsed="false"/>
    <row r="631" customFormat="false" ht="24.75" hidden="false" customHeight="true" outlineLevel="0" collapsed="false"/>
    <row r="632" customFormat="false" ht="24.75" hidden="false" customHeight="true" outlineLevel="0" collapsed="false"/>
    <row r="633" customFormat="false" ht="24.75" hidden="false" customHeight="true" outlineLevel="0" collapsed="false"/>
    <row r="634" customFormat="false" ht="24.75" hidden="false" customHeight="true" outlineLevel="0" collapsed="false"/>
    <row r="635" customFormat="false" ht="24.75" hidden="false" customHeight="true" outlineLevel="0" collapsed="false"/>
    <row r="636" customFormat="false" ht="24.75" hidden="false" customHeight="true" outlineLevel="0" collapsed="false"/>
    <row r="637" customFormat="false" ht="24.75" hidden="false" customHeight="true" outlineLevel="0" collapsed="false"/>
    <row r="638" customFormat="false" ht="24.75" hidden="false" customHeight="true" outlineLevel="0" collapsed="false"/>
    <row r="639" customFormat="false" ht="24.75" hidden="false" customHeight="true" outlineLevel="0" collapsed="false"/>
    <row r="640" customFormat="false" ht="24.75" hidden="false" customHeight="true" outlineLevel="0" collapsed="false"/>
    <row r="641" customFormat="false" ht="24.75" hidden="false" customHeight="true" outlineLevel="0" collapsed="false"/>
  </sheetData>
  <mergeCells count="43">
    <mergeCell ref="A1:S1"/>
    <mergeCell ref="A2:S2"/>
    <mergeCell ref="A3:S3"/>
    <mergeCell ref="A5:A6"/>
    <mergeCell ref="B5:B6"/>
    <mergeCell ref="C5:C6"/>
    <mergeCell ref="D5:D6"/>
    <mergeCell ref="E5:E6"/>
    <mergeCell ref="F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V5:V6"/>
    <mergeCell ref="C7:D7"/>
    <mergeCell ref="F7:G7"/>
    <mergeCell ref="K7:L7"/>
    <mergeCell ref="S46:S73"/>
    <mergeCell ref="S74:S82"/>
    <mergeCell ref="S85:S99"/>
    <mergeCell ref="S100:S106"/>
    <mergeCell ref="S107:S114"/>
    <mergeCell ref="S115:S122"/>
    <mergeCell ref="S124:S130"/>
    <mergeCell ref="S131:S148"/>
    <mergeCell ref="S158:S185"/>
    <mergeCell ref="S203:S211"/>
    <mergeCell ref="C431:F431"/>
    <mergeCell ref="K431:N431"/>
    <mergeCell ref="C432:F432"/>
    <mergeCell ref="L434:N434"/>
    <mergeCell ref="C435:F435"/>
    <mergeCell ref="L435:N435"/>
    <mergeCell ref="C436:F436"/>
  </mergeCells>
  <printOptions headings="false" gridLines="false" gridLinesSet="true" horizontalCentered="true" verticalCentered="false"/>
  <pageMargins left="0.196527777777778" right="0.196527777777778" top="0.39375" bottom="0.39375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K2" activeCellId="0" sqref="K2"/>
    </sheetView>
  </sheetViews>
  <sheetFormatPr defaultColWidth="8.6796875" defaultRowHeight="14.25" zeroHeight="false" outlineLevelRow="0" outlineLevelCol="0"/>
  <cols>
    <col collapsed="false" customWidth="true" hidden="false" outlineLevel="0" max="2" min="2" style="237" width="12.82"/>
    <col collapsed="false" customWidth="true" hidden="false" outlineLevel="0" max="3" min="3" style="0" width="54.09"/>
    <col collapsed="false" customWidth="true" hidden="true" outlineLevel="0" max="5" min="4" style="0" width="11.53"/>
    <col collapsed="false" customWidth="true" hidden="true" outlineLevel="0" max="6" min="6" style="0" width="10.82"/>
    <col collapsed="false" customWidth="true" hidden="true" outlineLevel="0" max="10" min="7" style="0" width="11.53"/>
    <col collapsed="false" customWidth="true" hidden="false" outlineLevel="0" max="11" min="11" style="238" width="14.82"/>
    <col collapsed="false" customWidth="true" hidden="false" outlineLevel="0" max="12" min="12" style="0" width="13.82"/>
    <col collapsed="false" customWidth="true" hidden="false" outlineLevel="0" max="13" min="13" style="0" width="13.63"/>
    <col collapsed="false" customWidth="true" hidden="false" outlineLevel="0" max="14" min="14" style="0" width="16.82"/>
  </cols>
  <sheetData>
    <row r="2" customFormat="false" ht="14.25" hidden="false" customHeight="false" outlineLevel="0" collapsed="false">
      <c r="B2" s="239" t="s">
        <v>25</v>
      </c>
      <c r="C2" s="240"/>
      <c r="D2" s="240"/>
      <c r="E2" s="240"/>
      <c r="F2" s="240"/>
      <c r="G2" s="240"/>
      <c r="H2" s="240"/>
      <c r="I2" s="240"/>
      <c r="J2" s="240"/>
      <c r="K2" s="241" t="n">
        <f aca="false">SUM(K3:K16)</f>
        <v>146141000</v>
      </c>
    </row>
    <row r="3" customFormat="false" ht="14.25" hidden="false" customHeight="false" outlineLevel="0" collapsed="false">
      <c r="B3" s="237" t="n">
        <v>1</v>
      </c>
      <c r="C3" s="242" t="s">
        <v>384</v>
      </c>
      <c r="D3" s="0" t="n">
        <v>1</v>
      </c>
      <c r="E3" s="243" t="s">
        <v>34</v>
      </c>
      <c r="F3" s="0" t="n">
        <v>1415000000</v>
      </c>
      <c r="G3" s="0" t="n">
        <v>1415000000</v>
      </c>
      <c r="K3" s="244" t="n">
        <f aca="false">'RAB Rev 9'!R17</f>
        <v>67000000</v>
      </c>
    </row>
    <row r="4" customFormat="false" ht="28.5" hidden="false" customHeight="true" outlineLevel="0" collapsed="false">
      <c r="B4" s="237" t="n">
        <v>2</v>
      </c>
      <c r="C4" s="242" t="s">
        <v>385</v>
      </c>
      <c r="D4" s="0" t="n">
        <v>17160</v>
      </c>
      <c r="E4" s="243" t="s">
        <v>49</v>
      </c>
      <c r="F4" s="0" t="n">
        <v>17400</v>
      </c>
      <c r="G4" s="0" t="n">
        <v>298584000</v>
      </c>
      <c r="H4" s="0" t="n">
        <v>298040000</v>
      </c>
      <c r="K4" s="244" t="n">
        <f aca="false">'RAB Rev 9'!R35</f>
        <v>27456000</v>
      </c>
      <c r="M4" s="238" t="n">
        <v>28861000</v>
      </c>
      <c r="N4" s="245" t="n">
        <f aca="false">M4-K4</f>
        <v>1405000</v>
      </c>
    </row>
    <row r="5" customFormat="false" ht="28.5" hidden="false" customHeight="true" outlineLevel="0" collapsed="false">
      <c r="B5" s="237" t="n">
        <v>3</v>
      </c>
      <c r="C5" s="242" t="s">
        <v>386</v>
      </c>
      <c r="D5" s="0" t="n">
        <v>0</v>
      </c>
      <c r="E5" s="243" t="s">
        <v>76</v>
      </c>
      <c r="F5" s="0" t="n">
        <v>12800</v>
      </c>
      <c r="G5" s="0" t="n">
        <v>0</v>
      </c>
      <c r="K5" s="244" t="n">
        <f aca="false">'RAB Rev 9'!R60</f>
        <v>1920000</v>
      </c>
    </row>
    <row r="6" customFormat="false" ht="14.25" hidden="false" customHeight="false" outlineLevel="0" collapsed="false">
      <c r="B6" s="237" t="n">
        <v>4</v>
      </c>
      <c r="C6" s="242" t="s">
        <v>387</v>
      </c>
      <c r="D6" s="0" t="n">
        <v>0</v>
      </c>
      <c r="E6" s="243" t="s">
        <v>76</v>
      </c>
      <c r="F6" s="0" t="n">
        <v>12800</v>
      </c>
      <c r="G6" s="0" t="n">
        <v>0</v>
      </c>
      <c r="K6" s="244" t="n">
        <f aca="false">'RAB Rev 9'!R61</f>
        <v>3072000</v>
      </c>
    </row>
    <row r="7" customFormat="false" ht="28.5" hidden="false" customHeight="true" outlineLevel="0" collapsed="false">
      <c r="B7" s="237" t="n">
        <v>5</v>
      </c>
      <c r="C7" s="242" t="s">
        <v>388</v>
      </c>
      <c r="D7" s="0" t="n">
        <v>316</v>
      </c>
      <c r="E7" s="243" t="s">
        <v>59</v>
      </c>
      <c r="F7" s="0" t="n">
        <v>13000</v>
      </c>
      <c r="G7" s="0" t="n">
        <v>4108000</v>
      </c>
      <c r="K7" s="244" t="n">
        <f aca="false">'RAB Rev 9'!R77</f>
        <v>5310000</v>
      </c>
    </row>
    <row r="8" customFormat="false" ht="28.5" hidden="false" customHeight="true" outlineLevel="0" collapsed="false">
      <c r="B8" s="237" t="n">
        <v>6</v>
      </c>
      <c r="C8" s="242" t="s">
        <v>389</v>
      </c>
      <c r="D8" s="0" t="n">
        <v>1350</v>
      </c>
      <c r="E8" s="243" t="s">
        <v>59</v>
      </c>
      <c r="F8" s="0" t="n">
        <v>13000</v>
      </c>
      <c r="G8" s="0" t="n">
        <v>17550000</v>
      </c>
      <c r="K8" s="244" t="n">
        <f aca="false">'RAB Rev 9'!R78</f>
        <v>1011000</v>
      </c>
    </row>
    <row r="9" customFormat="false" ht="28.5" hidden="false" customHeight="true" outlineLevel="0" collapsed="false">
      <c r="B9" s="237" t="n">
        <v>7</v>
      </c>
      <c r="C9" s="242" t="s">
        <v>390</v>
      </c>
      <c r="D9" s="0" t="n">
        <v>140</v>
      </c>
      <c r="E9" s="243" t="s">
        <v>59</v>
      </c>
      <c r="F9" s="0" t="n">
        <v>13000</v>
      </c>
      <c r="G9" s="0" t="n">
        <v>1820000</v>
      </c>
      <c r="K9" s="244" t="n">
        <f aca="false">'RAB Rev 9'!R103</f>
        <v>3888000</v>
      </c>
    </row>
    <row r="10" customFormat="false" ht="28.5" hidden="false" customHeight="true" outlineLevel="0" collapsed="false">
      <c r="B10" s="237" t="n">
        <v>8</v>
      </c>
      <c r="C10" s="242" t="s">
        <v>391</v>
      </c>
      <c r="D10" s="0" t="n">
        <v>2075</v>
      </c>
      <c r="E10" s="243" t="s">
        <v>59</v>
      </c>
      <c r="F10" s="0" t="n">
        <v>12800</v>
      </c>
      <c r="G10" s="0" t="n">
        <v>26560000</v>
      </c>
      <c r="K10" s="244" t="n">
        <f aca="false">'RAB Rev 9'!R110</f>
        <v>6144000</v>
      </c>
    </row>
    <row r="11" customFormat="false" ht="28.5" hidden="false" customHeight="true" outlineLevel="0" collapsed="false">
      <c r="B11" s="237" t="n">
        <v>9</v>
      </c>
      <c r="C11" s="242" t="s">
        <v>392</v>
      </c>
      <c r="D11" s="0" t="n">
        <v>1</v>
      </c>
      <c r="E11" s="243" t="s">
        <v>55</v>
      </c>
      <c r="F11" s="0" t="n">
        <v>2060000</v>
      </c>
      <c r="G11" s="0" t="n">
        <v>2060000</v>
      </c>
      <c r="K11" s="244" t="n">
        <f aca="false">'RAB Rev 9'!R118</f>
        <v>4000000</v>
      </c>
    </row>
    <row r="12" customFormat="false" ht="14.25" hidden="false" customHeight="false" outlineLevel="0" collapsed="false">
      <c r="B12" s="237" t="n">
        <v>10</v>
      </c>
      <c r="C12" s="242" t="s">
        <v>393</v>
      </c>
      <c r="D12" s="0" t="n">
        <v>335</v>
      </c>
      <c r="E12" s="243" t="s">
        <v>59</v>
      </c>
      <c r="F12" s="0" t="n">
        <v>12800</v>
      </c>
      <c r="G12" s="0" t="n">
        <v>4288000</v>
      </c>
      <c r="K12" s="244" t="n">
        <f aca="false">'RAB Rev 9'!R138</f>
        <v>1884000</v>
      </c>
    </row>
    <row r="13" customFormat="false" ht="14.25" hidden="false" customHeight="false" outlineLevel="0" collapsed="false">
      <c r="B13" s="237" t="n">
        <v>11</v>
      </c>
      <c r="C13" s="242" t="s">
        <v>394</v>
      </c>
      <c r="D13" s="0" t="n">
        <v>180</v>
      </c>
      <c r="E13" s="243" t="s">
        <v>151</v>
      </c>
      <c r="F13" s="0" t="n">
        <v>175000</v>
      </c>
      <c r="G13" s="0" t="n">
        <v>31500000</v>
      </c>
      <c r="K13" s="244" t="n">
        <f aca="false">'RAB Rev 9'!R157</f>
        <v>12500000</v>
      </c>
    </row>
    <row r="14" customFormat="false" ht="28.5" hidden="false" customHeight="true" outlineLevel="0" collapsed="false">
      <c r="B14" s="237" t="n">
        <v>12</v>
      </c>
      <c r="C14" s="242" t="s">
        <v>395</v>
      </c>
      <c r="D14" s="0" t="n">
        <v>6</v>
      </c>
      <c r="E14" s="243" t="s">
        <v>123</v>
      </c>
      <c r="F14" s="0" t="n">
        <v>1212000</v>
      </c>
      <c r="G14" s="0" t="n">
        <v>7272000</v>
      </c>
      <c r="K14" s="244" t="n">
        <f aca="false">'RAB Rev 9'!R189</f>
        <v>3636000</v>
      </c>
      <c r="M14" s="246"/>
    </row>
    <row r="15" customFormat="false" ht="28.5" hidden="false" customHeight="true" outlineLevel="0" collapsed="false">
      <c r="B15" s="237" t="n">
        <v>13</v>
      </c>
      <c r="C15" s="242" t="s">
        <v>396</v>
      </c>
      <c r="D15" s="0" t="n">
        <v>625</v>
      </c>
      <c r="E15" s="243" t="s">
        <v>59</v>
      </c>
      <c r="F15" s="0" t="n">
        <v>12800</v>
      </c>
      <c r="G15" s="0" t="n">
        <v>8000000</v>
      </c>
      <c r="K15" s="244" t="n">
        <f aca="false">'RAB Rev 9'!R206</f>
        <v>6400000</v>
      </c>
    </row>
    <row r="16" customFormat="false" ht="28.5" hidden="false" customHeight="true" outlineLevel="0" collapsed="false">
      <c r="B16" s="237" t="n">
        <v>14</v>
      </c>
      <c r="C16" s="242" t="s">
        <v>397</v>
      </c>
      <c r="D16" s="0" t="n">
        <v>145</v>
      </c>
      <c r="E16" s="243" t="s">
        <v>59</v>
      </c>
      <c r="F16" s="0" t="n">
        <v>12800</v>
      </c>
      <c r="G16" s="0" t="n">
        <v>1856000</v>
      </c>
      <c r="K16" s="244" t="n">
        <f aca="false">'RAB Rev 9'!R207</f>
        <v>1920000</v>
      </c>
    </row>
    <row r="17" customFormat="false" ht="14.25" hidden="false" customHeight="false" outlineLevel="0" collapsed="false">
      <c r="C17" s="242"/>
    </row>
    <row r="18" s="247" customFormat="true" ht="14.25" hidden="true" customHeight="false" outlineLevel="0" collapsed="false">
      <c r="B18" s="239" t="s">
        <v>398</v>
      </c>
      <c r="C18" s="240"/>
      <c r="D18" s="240"/>
      <c r="E18" s="240"/>
      <c r="F18" s="240"/>
      <c r="G18" s="240"/>
      <c r="H18" s="240"/>
      <c r="I18" s="240"/>
      <c r="J18" s="240"/>
      <c r="K18" s="241" t="e">
        <f aca="false">K19</f>
        <v>#VALUE!</v>
      </c>
      <c r="L18" s="248" t="e">
        <f aca="false">K18+K20+K22</f>
        <v>#VALUE!</v>
      </c>
    </row>
    <row r="19" customFormat="false" ht="14.25" hidden="true" customHeight="false" outlineLevel="0" collapsed="false">
      <c r="B19" s="237" t="n">
        <v>1</v>
      </c>
      <c r="C19" s="242" t="s">
        <v>399</v>
      </c>
      <c r="D19" s="0" t="n">
        <v>540</v>
      </c>
      <c r="E19" s="243" t="s">
        <v>160</v>
      </c>
      <c r="F19" s="0" t="n">
        <v>12800</v>
      </c>
      <c r="G19" s="0" t="n">
        <v>6912000</v>
      </c>
      <c r="K19" s="249" t="e">
        <f aca="false">'rab rev 9'!#ref!</f>
        <v>#VALUE!</v>
      </c>
    </row>
    <row r="20" s="247" customFormat="true" ht="14.25" hidden="true" customHeight="false" outlineLevel="0" collapsed="false">
      <c r="B20" s="239" t="s">
        <v>400</v>
      </c>
      <c r="C20" s="240"/>
      <c r="D20" s="240"/>
      <c r="E20" s="240"/>
      <c r="F20" s="240"/>
      <c r="G20" s="240"/>
      <c r="H20" s="240"/>
      <c r="I20" s="240"/>
      <c r="J20" s="240"/>
      <c r="K20" s="241" t="e">
        <f aca="false">K21</f>
        <v>#VALUE!</v>
      </c>
    </row>
    <row r="21" customFormat="false" ht="14.25" hidden="true" customHeight="false" outlineLevel="0" collapsed="false">
      <c r="C21" s="242" t="s">
        <v>401</v>
      </c>
      <c r="D21" s="0" t="n">
        <v>8000</v>
      </c>
      <c r="E21" s="243" t="s">
        <v>160</v>
      </c>
      <c r="F21" s="0" t="n">
        <v>12800</v>
      </c>
      <c r="G21" s="0" t="n">
        <v>102400000</v>
      </c>
      <c r="K21" s="249" t="e">
        <f aca="false">'rab rev 9'!#ref!</f>
        <v>#VALUE!</v>
      </c>
    </row>
    <row r="22" s="247" customFormat="true" ht="14.25" hidden="true" customHeight="false" outlineLevel="0" collapsed="false">
      <c r="B22" s="239" t="s">
        <v>402</v>
      </c>
      <c r="C22" s="240"/>
      <c r="D22" s="240"/>
      <c r="E22" s="240"/>
      <c r="F22" s="240"/>
      <c r="G22" s="240"/>
      <c r="H22" s="240"/>
      <c r="I22" s="240"/>
      <c r="J22" s="240"/>
      <c r="K22" s="241" t="e">
        <f aca="false">SUM(K23:K24)</f>
        <v>#VALUE!</v>
      </c>
    </row>
    <row r="23" customFormat="false" ht="14.25" hidden="true" customHeight="false" outlineLevel="0" collapsed="false">
      <c r="C23" s="242" t="s">
        <v>403</v>
      </c>
      <c r="D23" s="0" t="n">
        <v>675</v>
      </c>
      <c r="E23" s="243" t="s">
        <v>160</v>
      </c>
      <c r="F23" s="0" t="n">
        <v>12800</v>
      </c>
      <c r="G23" s="0" t="n">
        <v>8640000</v>
      </c>
      <c r="K23" s="249" t="e">
        <f aca="false">'rab rev 9'!#ref!</f>
        <v>#VALUE!</v>
      </c>
    </row>
    <row r="24" customFormat="false" ht="28.5" hidden="true" customHeight="true" outlineLevel="0" collapsed="false">
      <c r="C24" s="242" t="s">
        <v>404</v>
      </c>
      <c r="D24" s="0" t="n">
        <v>625</v>
      </c>
      <c r="E24" s="243" t="s">
        <v>59</v>
      </c>
      <c r="F24" s="0" t="n">
        <v>12800</v>
      </c>
      <c r="G24" s="0" t="n">
        <v>8000000</v>
      </c>
      <c r="K24" s="249" t="e">
        <f aca="false">'rab rev 9'!#ref!</f>
        <v>#VALUE!</v>
      </c>
    </row>
    <row r="25" customFormat="false" ht="14.25" hidden="false" customHeight="false" outlineLevel="0" collapsed="false">
      <c r="B25" s="239" t="s">
        <v>405</v>
      </c>
      <c r="C25" s="250"/>
      <c r="D25" s="240"/>
      <c r="E25" s="240"/>
      <c r="F25" s="240"/>
      <c r="G25" s="240"/>
      <c r="H25" s="240"/>
      <c r="I25" s="240"/>
      <c r="J25" s="240"/>
      <c r="K25" s="241" t="n">
        <f aca="false">SUM(K26:K30)</f>
        <v>158770000</v>
      </c>
      <c r="L25" s="251" t="n">
        <v>158770000</v>
      </c>
    </row>
    <row r="26" customFormat="false" ht="28.5" hidden="false" customHeight="true" outlineLevel="0" collapsed="false">
      <c r="C26" s="242" t="s">
        <v>406</v>
      </c>
      <c r="D26" s="0" t="n">
        <v>52</v>
      </c>
      <c r="E26" s="243" t="s">
        <v>308</v>
      </c>
      <c r="F26" s="0" t="n">
        <v>5240000</v>
      </c>
      <c r="G26" s="0" t="n">
        <v>272480000</v>
      </c>
      <c r="K26" s="249" t="n">
        <f aca="false">'RAB Rev 9'!R346</f>
        <v>104520000</v>
      </c>
    </row>
    <row r="27" customFormat="false" ht="14.25" hidden="false" customHeight="false" outlineLevel="0" collapsed="false">
      <c r="C27" s="242" t="s">
        <v>407</v>
      </c>
      <c r="D27" s="0" t="n">
        <v>1</v>
      </c>
      <c r="E27" s="243" t="s">
        <v>55</v>
      </c>
      <c r="F27" s="0" t="n">
        <v>15750000</v>
      </c>
      <c r="G27" s="0" t="n">
        <v>15750000</v>
      </c>
      <c r="K27" s="249" t="n">
        <f aca="false">'RAB Rev 9'!R363</f>
        <v>5250000</v>
      </c>
    </row>
    <row r="28" customFormat="false" ht="14.25" hidden="false" customHeight="false" outlineLevel="0" collapsed="false">
      <c r="C28" s="242" t="s">
        <v>334</v>
      </c>
      <c r="D28" s="0" t="n">
        <v>12</v>
      </c>
      <c r="E28" s="243" t="s">
        <v>312</v>
      </c>
      <c r="F28" s="0" t="n">
        <v>4100000</v>
      </c>
      <c r="G28" s="0" t="n">
        <v>49200000</v>
      </c>
      <c r="K28" s="249" t="n">
        <f aca="false">'RAB Rev 9'!R379</f>
        <v>15000000</v>
      </c>
    </row>
    <row r="29" customFormat="false" ht="14.25" hidden="false" customHeight="false" outlineLevel="0" collapsed="false">
      <c r="C29" s="242" t="s">
        <v>408</v>
      </c>
      <c r="D29" s="0" t="n">
        <v>1</v>
      </c>
      <c r="E29" s="243" t="s">
        <v>34</v>
      </c>
      <c r="F29" s="0" t="n">
        <v>342982000</v>
      </c>
      <c r="G29" s="0" t="n">
        <v>342982000</v>
      </c>
      <c r="K29" s="249" t="n">
        <f aca="false">'RAB Rev 9'!R412</f>
        <v>20000000</v>
      </c>
    </row>
    <row r="30" customFormat="false" ht="28.5" hidden="false" customHeight="true" outlineLevel="0" collapsed="false">
      <c r="C30" s="242" t="s">
        <v>409</v>
      </c>
      <c r="D30" s="0" t="n">
        <v>1</v>
      </c>
      <c r="E30" s="243" t="s">
        <v>34</v>
      </c>
      <c r="F30" s="0" t="n">
        <v>295400000</v>
      </c>
      <c r="G30" s="0" t="n">
        <v>295400000</v>
      </c>
      <c r="K30" s="249" t="n">
        <f aca="false">'RAB Rev 9'!R421</f>
        <v>14000000</v>
      </c>
    </row>
    <row r="31" customFormat="false" ht="14.25" hidden="false" customHeight="false" outlineLevel="0" collapsed="false">
      <c r="B31" s="239" t="s">
        <v>410</v>
      </c>
      <c r="C31" s="240"/>
      <c r="D31" s="240"/>
      <c r="E31" s="240"/>
      <c r="F31" s="240"/>
      <c r="G31" s="240"/>
      <c r="H31" s="240"/>
      <c r="I31" s="240"/>
      <c r="J31" s="240"/>
      <c r="K31" s="241" t="n">
        <f aca="false">K32</f>
        <v>3500000</v>
      </c>
      <c r="L31" s="251" t="n">
        <v>3500000</v>
      </c>
    </row>
    <row r="32" customFormat="false" ht="14.25" hidden="false" customHeight="false" outlineLevel="0" collapsed="false">
      <c r="C32" s="242" t="s">
        <v>411</v>
      </c>
      <c r="K32" s="238" t="n">
        <v>3500000</v>
      </c>
    </row>
    <row r="33" customFormat="false" ht="14.25" hidden="false" customHeight="false" outlineLevel="0" collapsed="false">
      <c r="K33" s="252" t="e">
        <f aca="false">K2+K18+K20+K22+K25+K31</f>
        <v>#VALUE!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F2" activeCellId="0" sqref="F2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.18"/>
    <col collapsed="false" customWidth="true" hidden="false" outlineLevel="0" max="3" min="3" style="0" width="40.27"/>
    <col collapsed="false" customWidth="true" hidden="false" outlineLevel="0" max="5" min="4" style="0" width="16"/>
    <col collapsed="false" customWidth="true" hidden="false" outlineLevel="0" max="6" min="6" style="0" width="26.18"/>
    <col collapsed="false" customWidth="true" hidden="false" outlineLevel="0" max="7" min="7" style="0" width="14.63"/>
    <col collapsed="false" customWidth="true" hidden="false" outlineLevel="0" max="8" min="8" style="0" width="15.09"/>
    <col collapsed="false" customWidth="true" hidden="false" outlineLevel="0" max="13" min="13" style="0" width="12.54"/>
  </cols>
  <sheetData>
    <row r="1" customFormat="false" ht="14.25" hidden="false" customHeight="false" outlineLevel="0" collapsed="false">
      <c r="B1" s="0" t="s">
        <v>412</v>
      </c>
    </row>
    <row r="2" customFormat="false" ht="14.25" hidden="false" customHeight="false" outlineLevel="0" collapsed="false">
      <c r="B2" s="253" t="s">
        <v>25</v>
      </c>
      <c r="C2" s="253"/>
      <c r="D2" s="254" t="n">
        <f aca="false">SUM(D3:D11)</f>
        <v>141908000</v>
      </c>
      <c r="E2" s="255" t="n">
        <f aca="false">SUM(E3:E11)</f>
        <v>146141000</v>
      </c>
      <c r="F2" s="256" t="n">
        <f aca="false">SUM(F3:F11)</f>
        <v>146141000</v>
      </c>
      <c r="G2" s="257"/>
    </row>
    <row r="3" customFormat="false" ht="14.25" hidden="false" customHeight="false" outlineLevel="0" collapsed="false">
      <c r="A3" s="0" t="s">
        <v>413</v>
      </c>
      <c r="B3" s="237" t="n">
        <v>1</v>
      </c>
      <c r="C3" s="243" t="s">
        <v>414</v>
      </c>
      <c r="D3" s="258" t="n">
        <v>19200000</v>
      </c>
      <c r="E3" s="259" t="n">
        <v>20208000</v>
      </c>
      <c r="F3" s="260" t="n">
        <v>20208000</v>
      </c>
    </row>
    <row r="4" customFormat="false" ht="43.5" hidden="false" customHeight="true" outlineLevel="0" collapsed="false">
      <c r="A4" s="0" t="s">
        <v>415</v>
      </c>
      <c r="B4" s="237" t="n">
        <v>2</v>
      </c>
      <c r="C4" s="242" t="s">
        <v>416</v>
      </c>
      <c r="D4" s="261" t="n">
        <v>1248000</v>
      </c>
      <c r="E4" s="262" t="n">
        <v>1248000</v>
      </c>
      <c r="F4" s="0" t="n">
        <v>1248000</v>
      </c>
      <c r="L4" s="263"/>
      <c r="M4" s="263"/>
    </row>
    <row r="5" customFormat="false" ht="14.25" hidden="false" customHeight="false" outlineLevel="0" collapsed="false">
      <c r="A5" s="0" t="s">
        <v>417</v>
      </c>
      <c r="B5" s="237" t="n">
        <v>3</v>
      </c>
      <c r="C5" s="242" t="s">
        <v>418</v>
      </c>
      <c r="D5" s="258" t="n">
        <v>3500000</v>
      </c>
      <c r="E5" s="259" t="n">
        <v>3500000</v>
      </c>
      <c r="F5" s="0" t="n">
        <v>3500000</v>
      </c>
      <c r="L5" s="263"/>
      <c r="M5" s="263"/>
    </row>
    <row r="6" customFormat="false" ht="14.25" hidden="false" customHeight="false" outlineLevel="0" collapsed="false">
      <c r="A6" s="0" t="s">
        <v>419</v>
      </c>
      <c r="B6" s="237" t="n">
        <v>4</v>
      </c>
      <c r="C6" s="242" t="s">
        <v>420</v>
      </c>
      <c r="D6" s="258" t="n">
        <f aca="false">300000*60</f>
        <v>18000000</v>
      </c>
      <c r="E6" s="259" t="n">
        <v>18000000</v>
      </c>
      <c r="F6" s="263" t="n">
        <v>17900000</v>
      </c>
      <c r="G6" s="0" t="n">
        <v>521211</v>
      </c>
      <c r="L6" s="263"/>
      <c r="M6" s="263"/>
    </row>
    <row r="7" customFormat="false" ht="14.25" hidden="false" customHeight="false" outlineLevel="0" collapsed="false">
      <c r="A7" s="0" t="s">
        <v>421</v>
      </c>
      <c r="B7" s="237" t="n">
        <v>5</v>
      </c>
      <c r="C7" s="242" t="s">
        <v>422</v>
      </c>
      <c r="D7" s="258" t="n">
        <f aca="false">100*300000</f>
        <v>30000000</v>
      </c>
      <c r="E7" s="259" t="n">
        <v>30000000</v>
      </c>
      <c r="F7" s="263" t="n">
        <v>30000000</v>
      </c>
      <c r="G7" s="0" t="n">
        <v>521211</v>
      </c>
      <c r="L7" s="263"/>
      <c r="M7" s="263"/>
    </row>
    <row r="8" customFormat="false" ht="14.25" hidden="false" customHeight="false" outlineLevel="0" collapsed="false">
      <c r="A8" s="0" t="s">
        <v>421</v>
      </c>
      <c r="B8" s="237" t="n">
        <v>6</v>
      </c>
      <c r="C8" s="242" t="s">
        <v>423</v>
      </c>
      <c r="D8" s="258"/>
      <c r="E8" s="259" t="n">
        <f aca="false">D9+D10</f>
        <v>49055000</v>
      </c>
      <c r="F8" s="0" t="n">
        <v>49055000</v>
      </c>
      <c r="G8" s="263"/>
      <c r="L8" s="263"/>
      <c r="M8" s="263"/>
    </row>
    <row r="9" customFormat="false" ht="14.25" hidden="false" customHeight="false" outlineLevel="0" collapsed="false">
      <c r="C9" s="242" t="s">
        <v>424</v>
      </c>
      <c r="D9" s="258" t="n">
        <f aca="false">67*665000</f>
        <v>44555000</v>
      </c>
      <c r="E9" s="258"/>
      <c r="G9" s="0" t="n">
        <v>521211</v>
      </c>
      <c r="L9" s="263"/>
      <c r="M9" s="263"/>
    </row>
    <row r="10" customFormat="false" ht="14.25" hidden="false" customHeight="false" outlineLevel="0" collapsed="false">
      <c r="C10" s="242" t="s">
        <v>425</v>
      </c>
      <c r="D10" s="258" t="n">
        <f aca="false">6*750000</f>
        <v>4500000</v>
      </c>
      <c r="E10" s="258"/>
      <c r="L10" s="263"/>
      <c r="M10" s="263"/>
    </row>
    <row r="11" customFormat="false" ht="14.25" hidden="false" customHeight="false" outlineLevel="0" collapsed="false">
      <c r="A11" s="0" t="s">
        <v>419</v>
      </c>
      <c r="B11" s="264" t="n">
        <v>7</v>
      </c>
      <c r="C11" s="265" t="s">
        <v>426</v>
      </c>
      <c r="D11" s="266" t="n">
        <v>20905000</v>
      </c>
      <c r="E11" s="267" t="n">
        <v>24130000</v>
      </c>
      <c r="F11" s="246" t="n">
        <v>24230000</v>
      </c>
      <c r="L11" s="263"/>
      <c r="M11" s="263"/>
    </row>
    <row r="13" customFormat="false" ht="14.25" hidden="false" customHeight="false" outlineLevel="0" collapsed="false">
      <c r="B13" s="251" t="s">
        <v>405</v>
      </c>
      <c r="C13" s="251"/>
      <c r="D13" s="255" t="n">
        <f aca="false">SUM(D14:D22)</f>
        <v>158770000</v>
      </c>
      <c r="E13" s="255" t="n">
        <f aca="false">SUM(E14:E22)</f>
        <v>158770000</v>
      </c>
      <c r="F13" s="268" t="n">
        <f aca="false">Sisa!K25-Usulan!E13</f>
        <v>0</v>
      </c>
      <c r="G13" s="257"/>
    </row>
    <row r="14" customFormat="false" ht="14.25" hidden="false" customHeight="false" outlineLevel="0" collapsed="false">
      <c r="B14" s="0" t="n">
        <v>1</v>
      </c>
      <c r="C14" s="0" t="s">
        <v>427</v>
      </c>
      <c r="D14" s="267" t="n">
        <v>12770000</v>
      </c>
      <c r="E14" s="267" t="n">
        <v>12770000</v>
      </c>
    </row>
    <row r="15" customFormat="false" ht="14.25" hidden="false" customHeight="false" outlineLevel="0" collapsed="false">
      <c r="B15" s="0" t="n">
        <v>2</v>
      </c>
      <c r="C15" s="0" t="s">
        <v>428</v>
      </c>
      <c r="D15" s="258" t="n">
        <v>15000000</v>
      </c>
      <c r="E15" s="267" t="n">
        <v>15000000</v>
      </c>
      <c r="F15" s="243" t="s">
        <v>429</v>
      </c>
    </row>
    <row r="16" customFormat="false" ht="14.25" hidden="false" customHeight="false" outlineLevel="0" collapsed="false">
      <c r="B16" s="269" t="n">
        <v>3</v>
      </c>
      <c r="C16" s="269" t="s">
        <v>430</v>
      </c>
      <c r="D16" s="266" t="n">
        <v>48000000</v>
      </c>
      <c r="E16" s="266" t="n">
        <v>48000000</v>
      </c>
      <c r="F16" s="243" t="s">
        <v>267</v>
      </c>
      <c r="G16" s="257" t="n">
        <f aca="false">D16-E16</f>
        <v>0</v>
      </c>
    </row>
    <row r="17" customFormat="false" ht="14.25" hidden="false" customHeight="false" outlineLevel="0" collapsed="false">
      <c r="B17" s="0" t="n">
        <v>4</v>
      </c>
      <c r="C17" s="247" t="s">
        <v>431</v>
      </c>
      <c r="D17" s="259" t="n">
        <v>3000000</v>
      </c>
      <c r="E17" s="259" t="n">
        <v>3000000</v>
      </c>
    </row>
    <row r="18" customFormat="false" ht="14.25" hidden="false" customHeight="false" outlineLevel="0" collapsed="false">
      <c r="C18" s="243" t="s">
        <v>432</v>
      </c>
      <c r="D18" s="267"/>
      <c r="E18" s="258"/>
      <c r="G18" s="263"/>
    </row>
    <row r="19" customFormat="false" ht="14.25" hidden="false" customHeight="false" outlineLevel="0" collapsed="false">
      <c r="C19" s="243" t="s">
        <v>433</v>
      </c>
      <c r="D19" s="267"/>
      <c r="E19" s="258"/>
    </row>
    <row r="20" customFormat="false" ht="14.25" hidden="false" customHeight="false" outlineLevel="0" collapsed="false">
      <c r="B20" s="0" t="n">
        <v>5</v>
      </c>
      <c r="C20" s="243" t="s">
        <v>434</v>
      </c>
      <c r="D20" s="258" t="n">
        <v>5000000</v>
      </c>
      <c r="E20" s="267" t="n">
        <v>5000000</v>
      </c>
      <c r="F20" s="243" t="s">
        <v>435</v>
      </c>
    </row>
    <row r="21" customFormat="false" ht="14.25" hidden="false" customHeight="false" outlineLevel="0" collapsed="false">
      <c r="B21" s="0" t="n">
        <v>6</v>
      </c>
      <c r="C21" s="0" t="s">
        <v>436</v>
      </c>
      <c r="D21" s="258" t="n">
        <v>30000000</v>
      </c>
      <c r="E21" s="267" t="n">
        <v>30000000</v>
      </c>
    </row>
    <row r="22" customFormat="false" ht="14.25" hidden="false" customHeight="false" outlineLevel="0" collapsed="false">
      <c r="B22" s="0" t="n">
        <v>7</v>
      </c>
      <c r="C22" s="0" t="s">
        <v>437</v>
      </c>
      <c r="D22" s="258" t="n">
        <v>45000000</v>
      </c>
      <c r="E22" s="267" t="n">
        <v>45000000</v>
      </c>
    </row>
    <row r="23" customFormat="false" ht="14.25" hidden="false" customHeight="false" outlineLevel="0" collapsed="false">
      <c r="F23" s="270"/>
      <c r="G23" s="257" t="n">
        <f aca="false">D13-E13</f>
        <v>0</v>
      </c>
    </row>
    <row r="24" customFormat="false" ht="14.25" hidden="false" customHeight="false" outlineLevel="0" collapsed="false">
      <c r="B24" s="251" t="s">
        <v>410</v>
      </c>
      <c r="C24" s="251"/>
      <c r="D24" s="255" t="n">
        <f aca="false">D25</f>
        <v>3500000</v>
      </c>
      <c r="E24" s="255" t="n">
        <v>3500000</v>
      </c>
      <c r="F24" s="271" t="n">
        <f aca="false">Sisa!L31-Usulan!E24</f>
        <v>0</v>
      </c>
    </row>
    <row r="25" customFormat="false" ht="27" hidden="false" customHeight="true" outlineLevel="0" collapsed="false">
      <c r="B25" s="237" t="n">
        <v>1</v>
      </c>
      <c r="C25" s="242" t="s">
        <v>438</v>
      </c>
      <c r="D25" s="261" t="n">
        <f aca="false">SUM(D26:D30)</f>
        <v>3500000</v>
      </c>
      <c r="E25" s="261"/>
    </row>
    <row r="26" customFormat="false" ht="14.25" hidden="false" customHeight="false" outlineLevel="0" collapsed="false">
      <c r="C26" s="243" t="s">
        <v>439</v>
      </c>
      <c r="D26" s="258" t="n">
        <v>1500000</v>
      </c>
      <c r="E26" s="258"/>
    </row>
    <row r="27" customFormat="false" ht="14.25" hidden="false" customHeight="false" outlineLevel="0" collapsed="false">
      <c r="C27" s="243" t="s">
        <v>440</v>
      </c>
      <c r="D27" s="258" t="n">
        <v>500000</v>
      </c>
      <c r="E27" s="258"/>
    </row>
    <row r="28" customFormat="false" ht="14.25" hidden="false" customHeight="false" outlineLevel="0" collapsed="false">
      <c r="C28" s="243" t="s">
        <v>441</v>
      </c>
      <c r="D28" s="258" t="n">
        <v>500000</v>
      </c>
      <c r="E28" s="258"/>
    </row>
    <row r="29" customFormat="false" ht="14.25" hidden="false" customHeight="false" outlineLevel="0" collapsed="false">
      <c r="C29" s="243" t="s">
        <v>442</v>
      </c>
      <c r="D29" s="258" t="n">
        <v>500000</v>
      </c>
      <c r="E29" s="258"/>
    </row>
    <row r="30" customFormat="false" ht="14.25" hidden="false" customHeight="false" outlineLevel="0" collapsed="false">
      <c r="C30" s="243" t="s">
        <v>443</v>
      </c>
      <c r="D30" s="258" t="n">
        <v>500000</v>
      </c>
      <c r="E30" s="258"/>
    </row>
    <row r="31" customFormat="false" ht="14.25" hidden="false" customHeight="false" outlineLevel="0" collapsed="false">
      <c r="B31" s="272"/>
      <c r="C31" s="273" t="s">
        <v>444</v>
      </c>
      <c r="D31" s="274" t="n">
        <f aca="false">D24+D13+D2</f>
        <v>304178000</v>
      </c>
      <c r="E31" s="27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9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15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D16" activeCellId="0" sqref="D16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22.36"/>
    <col collapsed="false" customWidth="true" hidden="false" outlineLevel="0" max="3" min="3" style="0" width="14.54"/>
    <col collapsed="false" customWidth="true" hidden="false" outlineLevel="0" max="4" min="4" style="0" width="22.27"/>
    <col collapsed="false" customWidth="true" hidden="false" outlineLevel="0" max="5" min="5" style="0" width="11"/>
    <col collapsed="false" customWidth="true" hidden="false" outlineLevel="0" max="6" min="6" style="0" width="16.09"/>
    <col collapsed="false" customWidth="true" hidden="false" outlineLevel="0" max="7" min="7" style="0" width="14.45"/>
    <col collapsed="false" customWidth="true" hidden="false" outlineLevel="0" max="8" min="8" style="0" width="13.63"/>
  </cols>
  <sheetData>
    <row r="3" customFormat="false" ht="14.25" hidden="false" customHeight="false" outlineLevel="0" collapsed="false">
      <c r="B3" s="0" t="s">
        <v>22</v>
      </c>
    </row>
    <row r="4" customFormat="false" ht="14.25" hidden="false" customHeight="false" outlineLevel="0" collapsed="false">
      <c r="B4" s="0" t="s">
        <v>25</v>
      </c>
      <c r="C4" s="263" t="e">
        <f aca="false">'rab rev 9'!#ref!</f>
        <v>#VALUE!</v>
      </c>
      <c r="D4" s="246" t="e">
        <f aca="false">C4</f>
        <v>#VALUE!</v>
      </c>
    </row>
    <row r="5" customFormat="false" ht="14.25" hidden="false" customHeight="false" outlineLevel="0" collapsed="false">
      <c r="B5" s="0" t="s">
        <v>398</v>
      </c>
      <c r="C5" s="263" t="e">
        <f aca="false">'rab rev 9'!#ref!</f>
        <v>#VALUE!</v>
      </c>
      <c r="D5" s="246"/>
    </row>
    <row r="6" customFormat="false" ht="14.25" hidden="false" customHeight="false" outlineLevel="0" collapsed="false">
      <c r="B6" s="0" t="s">
        <v>400</v>
      </c>
      <c r="C6" s="263" t="e">
        <f aca="false">'rab rev 9'!#ref!</f>
        <v>#VALUE!</v>
      </c>
    </row>
    <row r="7" customFormat="false" ht="14.25" hidden="false" customHeight="false" outlineLevel="0" collapsed="false">
      <c r="B7" s="0" t="s">
        <v>445</v>
      </c>
      <c r="C7" s="263" t="e">
        <f aca="false">'rab rev 9'!#ref!</f>
        <v>#VALUE!</v>
      </c>
    </row>
    <row r="8" customFormat="false" ht="14.25" hidden="false" customHeight="false" outlineLevel="0" collapsed="false">
      <c r="B8" s="0" t="s">
        <v>402</v>
      </c>
      <c r="C8" s="263" t="e">
        <f aca="false">'rab rev 9'!#ref!</f>
        <v>#VALUE!</v>
      </c>
    </row>
    <row r="9" customFormat="false" ht="14.25" hidden="false" customHeight="false" outlineLevel="0" collapsed="false">
      <c r="C9" s="275" t="e">
        <f aca="false">SUM(C4:C8)</f>
        <v>#VALUE!</v>
      </c>
      <c r="D9" s="275" t="e">
        <f aca="false">SUM(D4:D8)</f>
        <v>#VALUE!</v>
      </c>
    </row>
    <row r="10" customFormat="false" ht="14.25" hidden="false" customHeight="false" outlineLevel="0" collapsed="false">
      <c r="C10" s="263"/>
      <c r="F10" s="0" t="n">
        <f aca="false">241.667</f>
        <v>241.667</v>
      </c>
    </row>
    <row r="11" customFormat="false" ht="14.25" hidden="false" customHeight="false" outlineLevel="0" collapsed="false">
      <c r="B11" s="0" t="s">
        <v>215</v>
      </c>
      <c r="C11" s="263"/>
      <c r="F11" s="263" t="n">
        <f aca="false">F10*16000</f>
        <v>3866672</v>
      </c>
    </row>
    <row r="12" customFormat="false" ht="14.25" hidden="false" customHeight="false" outlineLevel="0" collapsed="false">
      <c r="B12" s="243" t="s">
        <v>446</v>
      </c>
      <c r="C12" s="263" t="n">
        <v>0</v>
      </c>
    </row>
    <row r="13" customFormat="false" ht="14.25" hidden="false" customHeight="false" outlineLevel="0" collapsed="false">
      <c r="B13" s="243" t="s">
        <v>405</v>
      </c>
      <c r="C13" s="263" t="e">
        <f aca="false">'rab rev 9'!#ref!</f>
        <v>#VALUE!</v>
      </c>
    </row>
    <row r="14" customFormat="false" ht="14.25" hidden="false" customHeight="false" outlineLevel="0" collapsed="false">
      <c r="C14" s="275" t="e">
        <f aca="false">SUM(C12:C13)</f>
        <v>#VALUE!</v>
      </c>
    </row>
    <row r="15" customFormat="false" ht="14.25" hidden="false" customHeight="false" outlineLevel="0" collapsed="false">
      <c r="B15" s="0" t="s">
        <v>447</v>
      </c>
      <c r="C15" s="275" t="e">
        <f aca="false">C9+C14</f>
        <v>#VALUE!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E18" activeCellId="0" sqref="E18"/>
    </sheetView>
  </sheetViews>
  <sheetFormatPr defaultColWidth="8.6796875" defaultRowHeight="14.25" zeroHeight="false" outlineLevelRow="0" outlineLevelCol="0"/>
  <cols>
    <col collapsed="false" customWidth="true" hidden="false" outlineLevel="0" max="5" min="3" style="0" width="9.82"/>
    <col collapsed="false" customWidth="true" hidden="false" outlineLevel="0" max="8" min="6" style="0" width="13.63"/>
  </cols>
  <sheetData>
    <row r="2" s="276" customFormat="true" ht="14.25" hidden="false" customHeight="false" outlineLevel="0" collapsed="false">
      <c r="C2" s="276" t="s">
        <v>448</v>
      </c>
      <c r="D2" s="276" t="s">
        <v>449</v>
      </c>
      <c r="E2" s="276" t="s">
        <v>450</v>
      </c>
      <c r="F2" s="276" t="s">
        <v>451</v>
      </c>
      <c r="G2" s="276" t="s">
        <v>452</v>
      </c>
      <c r="H2" s="276" t="s">
        <v>453</v>
      </c>
    </row>
    <row r="3" customFormat="false" ht="14.25" hidden="false" customHeight="false" outlineLevel="0" collapsed="false">
      <c r="B3" s="0" t="s">
        <v>414</v>
      </c>
      <c r="C3" s="260" t="n">
        <v>56832000</v>
      </c>
      <c r="D3" s="260" t="n">
        <v>45385400</v>
      </c>
      <c r="E3" s="260" t="n">
        <f aca="false">C3-D3</f>
        <v>11446600</v>
      </c>
      <c r="F3" s="263" t="n">
        <f aca="false">6000000*4</f>
        <v>24000000</v>
      </c>
      <c r="G3" s="246" t="n">
        <v>69385000</v>
      </c>
      <c r="H3" s="246" t="n">
        <f aca="false">G3-C3</f>
        <v>12553000</v>
      </c>
    </row>
    <row r="4" customFormat="false" ht="14.25" hidden="false" customHeight="false" outlineLevel="0" collapsed="false">
      <c r="H4" s="246" t="n">
        <f aca="false">C3+H3</f>
        <v>69385000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2024-02-21T03:43:03Z</dcterms:created>
  <dc:creator>Balmon Surabaya</dc:creator>
  <dc:description/>
  <dc:language>en-US</dc:language>
  <cp:lastModifiedBy>ameratul fedhla</cp:lastModifiedBy>
  <cp:lastPrinted>2026-10-09T08:20:01Z</cp:lastPrinted>
  <dcterms:modified xsi:type="dcterms:W3CDTF">2026-10-12T02:40:07Z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